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Hat\Documents\GitHub\ezeeMsgMake\"/>
    </mc:Choice>
  </mc:AlternateContent>
  <xr:revisionPtr revIDLastSave="0" documentId="13_ncr:1_{97763577-9E8A-4003-955C-405B9BB85B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Sheet1!$A$2:$O$124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3" i="1"/>
  <c r="I3" i="1"/>
  <c r="J3" i="1"/>
  <c r="D3" i="1"/>
  <c r="F3" i="1" s="1"/>
  <c r="E3" i="1"/>
  <c r="D4" i="1"/>
  <c r="F4" i="1" s="1"/>
  <c r="E4" i="1"/>
  <c r="D5" i="1"/>
  <c r="F5" i="1" s="1"/>
  <c r="E5" i="1"/>
  <c r="D6" i="1"/>
  <c r="E6" i="1"/>
  <c r="F6" i="1"/>
  <c r="D7" i="1"/>
  <c r="F7" i="1" s="1"/>
  <c r="E7" i="1"/>
  <c r="D8" i="1"/>
  <c r="E8" i="1"/>
  <c r="F8" i="1"/>
  <c r="D9" i="1"/>
  <c r="F9" i="1" s="1"/>
  <c r="E9" i="1"/>
  <c r="D10" i="1"/>
  <c r="F10" i="1" s="1"/>
  <c r="E10" i="1"/>
  <c r="D11" i="1"/>
  <c r="E11" i="1"/>
  <c r="F11" i="1"/>
  <c r="D12" i="1"/>
  <c r="F12" i="1" s="1"/>
  <c r="E12" i="1"/>
  <c r="D13" i="1"/>
  <c r="F13" i="1" s="1"/>
  <c r="E13" i="1"/>
  <c r="D14" i="1"/>
  <c r="E14" i="1"/>
  <c r="F14" i="1"/>
  <c r="H14" i="1"/>
  <c r="I14" i="1"/>
  <c r="J14" i="1"/>
  <c r="D15" i="1"/>
  <c r="F15" i="1" s="1"/>
  <c r="E15" i="1"/>
  <c r="D16" i="1"/>
  <c r="E16" i="1"/>
  <c r="F16" i="1"/>
  <c r="G16" i="1"/>
  <c r="H16" i="1"/>
  <c r="I16" i="1"/>
  <c r="J16" i="1"/>
  <c r="K16" i="1"/>
  <c r="L16" i="1"/>
  <c r="D17" i="1"/>
  <c r="I17" i="1" s="1"/>
  <c r="E17" i="1"/>
  <c r="D18" i="1"/>
  <c r="F18" i="1" s="1"/>
  <c r="E18" i="1"/>
  <c r="D19" i="1"/>
  <c r="G19" i="1" s="1"/>
  <c r="E19" i="1"/>
  <c r="F19" i="1"/>
  <c r="D20" i="1"/>
  <c r="H20" i="1" s="1"/>
  <c r="E20" i="1"/>
  <c r="F20" i="1"/>
  <c r="G20" i="1"/>
  <c r="D21" i="1"/>
  <c r="F21" i="1" s="1"/>
  <c r="E21" i="1"/>
  <c r="D22" i="1"/>
  <c r="L22" i="1" s="1"/>
  <c r="E22" i="1"/>
  <c r="F22" i="1"/>
  <c r="G22" i="1"/>
  <c r="H22" i="1"/>
  <c r="I22" i="1"/>
  <c r="J22" i="1"/>
  <c r="K22" i="1"/>
  <c r="D23" i="1"/>
  <c r="K23" i="1" s="1"/>
  <c r="E23" i="1"/>
  <c r="D24" i="1"/>
  <c r="J24" i="1" s="1"/>
  <c r="E24" i="1"/>
  <c r="F24" i="1"/>
  <c r="G24" i="1"/>
  <c r="H24" i="1"/>
  <c r="D25" i="1"/>
  <c r="F25" i="1" s="1"/>
  <c r="E25" i="1"/>
  <c r="D26" i="1"/>
  <c r="H26" i="1" s="1"/>
  <c r="E26" i="1"/>
  <c r="F26" i="1"/>
  <c r="G26" i="1"/>
  <c r="D27" i="1"/>
  <c r="I27" i="1" s="1"/>
  <c r="E27" i="1"/>
  <c r="F27" i="1"/>
  <c r="G27" i="1"/>
  <c r="D28" i="1"/>
  <c r="F28" i="1" s="1"/>
  <c r="E28" i="1"/>
  <c r="D29" i="1"/>
  <c r="G29" i="1" s="1"/>
  <c r="E29" i="1"/>
  <c r="F29" i="1"/>
  <c r="D30" i="1"/>
  <c r="K30" i="1" s="1"/>
  <c r="E30" i="1"/>
  <c r="D31" i="1"/>
  <c r="K31" i="1" s="1"/>
  <c r="E31" i="1"/>
  <c r="D32" i="1"/>
  <c r="F32" i="1" s="1"/>
  <c r="E32" i="1"/>
  <c r="D33" i="1"/>
  <c r="I33" i="1" s="1"/>
  <c r="E33" i="1"/>
  <c r="F33" i="1"/>
  <c r="G33" i="1"/>
  <c r="D34" i="1"/>
  <c r="G34" i="1" s="1"/>
  <c r="E34" i="1"/>
  <c r="F34" i="1"/>
  <c r="D35" i="1"/>
  <c r="G35" i="1" s="1"/>
  <c r="E35" i="1"/>
  <c r="D36" i="1"/>
  <c r="K36" i="1" s="1"/>
  <c r="E36" i="1"/>
  <c r="F36" i="1"/>
  <c r="G36" i="1"/>
  <c r="H36" i="1"/>
  <c r="I36" i="1"/>
  <c r="J36" i="1"/>
  <c r="D37" i="1"/>
  <c r="F37" i="1" s="1"/>
  <c r="E37" i="1"/>
  <c r="D38" i="1"/>
  <c r="L38" i="1" s="1"/>
  <c r="E38" i="1"/>
  <c r="D39" i="1"/>
  <c r="H39" i="1" s="1"/>
  <c r="E39" i="1"/>
  <c r="F39" i="1"/>
  <c r="G39" i="1"/>
  <c r="D40" i="1"/>
  <c r="J40" i="1" s="1"/>
  <c r="E40" i="1"/>
  <c r="F40" i="1"/>
  <c r="G40" i="1"/>
  <c r="H40" i="1"/>
  <c r="I40" i="1"/>
  <c r="D41" i="1"/>
  <c r="I41" i="1" s="1"/>
  <c r="E41" i="1"/>
  <c r="D42" i="1"/>
  <c r="H42" i="1" s="1"/>
  <c r="E42" i="1"/>
  <c r="F42" i="1"/>
  <c r="G42" i="1"/>
  <c r="D43" i="1"/>
  <c r="E43" i="1"/>
  <c r="F43" i="1"/>
  <c r="G43" i="1"/>
  <c r="H43" i="1"/>
  <c r="I43" i="1"/>
  <c r="J43" i="1"/>
  <c r="K43" i="1"/>
  <c r="L43" i="1"/>
  <c r="D44" i="1"/>
  <c r="F44" i="1" s="1"/>
  <c r="E44" i="1"/>
  <c r="D45" i="1"/>
  <c r="F45" i="1" s="1"/>
  <c r="E45" i="1"/>
  <c r="D46" i="1"/>
  <c r="F46" i="1" s="1"/>
  <c r="E46" i="1"/>
  <c r="D47" i="1"/>
  <c r="F47" i="1" s="1"/>
  <c r="E47" i="1"/>
  <c r="D48" i="1"/>
  <c r="F48" i="1" s="1"/>
  <c r="E48" i="1"/>
  <c r="D49" i="1"/>
  <c r="E49" i="1"/>
  <c r="F49" i="1"/>
  <c r="D50" i="1"/>
  <c r="F50" i="1" s="1"/>
  <c r="E50" i="1"/>
  <c r="D51" i="1"/>
  <c r="F51" i="1" s="1"/>
  <c r="E51" i="1"/>
  <c r="D52" i="1"/>
  <c r="F52" i="1" s="1"/>
  <c r="E52" i="1"/>
  <c r="D53" i="1"/>
  <c r="F53" i="1" s="1"/>
  <c r="E53" i="1"/>
  <c r="D54" i="1"/>
  <c r="F54" i="1" s="1"/>
  <c r="E54" i="1"/>
  <c r="D55" i="1"/>
  <c r="F55" i="1" s="1"/>
  <c r="E55" i="1"/>
  <c r="D56" i="1"/>
  <c r="F56" i="1" s="1"/>
  <c r="E56" i="1"/>
  <c r="D57" i="1"/>
  <c r="F57" i="1" s="1"/>
  <c r="E57" i="1"/>
  <c r="D58" i="1"/>
  <c r="F58" i="1" s="1"/>
  <c r="E58" i="1"/>
  <c r="D59" i="1"/>
  <c r="F59" i="1" s="1"/>
  <c r="E59" i="1"/>
  <c r="D60" i="1"/>
  <c r="D61" i="1"/>
  <c r="D62" i="1"/>
  <c r="D63" i="1"/>
  <c r="D64" i="1"/>
  <c r="D65" i="1"/>
  <c r="D66" i="1"/>
  <c r="D67" i="1"/>
  <c r="D68" i="1"/>
  <c r="D69" i="1"/>
  <c r="E60" i="1"/>
  <c r="E61" i="1"/>
  <c r="E62" i="1"/>
  <c r="E63" i="1"/>
  <c r="E64" i="1"/>
  <c r="E65" i="1"/>
  <c r="E66" i="1"/>
  <c r="E67" i="1"/>
  <c r="E68" i="1"/>
  <c r="E69" i="1"/>
  <c r="D70" i="1"/>
  <c r="E70" i="1"/>
  <c r="D71" i="1"/>
  <c r="F71" i="1" s="1"/>
  <c r="E71" i="1"/>
  <c r="D72" i="1"/>
  <c r="F72" i="1" s="1"/>
  <c r="E72" i="1"/>
  <c r="D73" i="1"/>
  <c r="F73" i="1" s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F81" i="1" s="1"/>
  <c r="E81" i="1"/>
  <c r="D82" i="1"/>
  <c r="E82" i="1"/>
  <c r="D83" i="1"/>
  <c r="F83" i="1" s="1"/>
  <c r="E83" i="1"/>
  <c r="H83" i="1" s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G124" i="1" s="1"/>
  <c r="E124" i="1"/>
  <c r="L18" i="1" l="1"/>
  <c r="K18" i="1"/>
  <c r="L29" i="1"/>
  <c r="J18" i="1"/>
  <c r="K29" i="1"/>
  <c r="I18" i="1"/>
  <c r="H38" i="1"/>
  <c r="J29" i="1"/>
  <c r="H18" i="1"/>
  <c r="H15" i="1"/>
  <c r="G38" i="1"/>
  <c r="I29" i="1"/>
  <c r="G18" i="1"/>
  <c r="G15" i="1"/>
  <c r="F38" i="1"/>
  <c r="H29" i="1"/>
  <c r="F41" i="1"/>
  <c r="H33" i="1"/>
  <c r="I24" i="1"/>
  <c r="H17" i="1"/>
  <c r="K58" i="1"/>
  <c r="K38" i="1"/>
  <c r="H31" i="1"/>
  <c r="G17" i="1"/>
  <c r="I56" i="1"/>
  <c r="H41" i="1"/>
  <c r="J38" i="1"/>
  <c r="F35" i="1"/>
  <c r="G31" i="1"/>
  <c r="F17" i="1"/>
  <c r="G14" i="1"/>
  <c r="G59" i="1"/>
  <c r="J31" i="1"/>
  <c r="L58" i="1"/>
  <c r="I31" i="1"/>
  <c r="G55" i="1"/>
  <c r="G41" i="1"/>
  <c r="I38" i="1"/>
  <c r="F31" i="1"/>
  <c r="H27" i="1"/>
  <c r="K14" i="1"/>
  <c r="K15" i="1"/>
  <c r="L14" i="1"/>
  <c r="L32" i="1"/>
  <c r="L30" i="1"/>
  <c r="L23" i="1"/>
  <c r="K32" i="1"/>
  <c r="L25" i="1"/>
  <c r="L34" i="1"/>
  <c r="J32" i="1"/>
  <c r="J30" i="1"/>
  <c r="K25" i="1"/>
  <c r="J23" i="1"/>
  <c r="L39" i="1"/>
  <c r="K34" i="1"/>
  <c r="I32" i="1"/>
  <c r="I30" i="1"/>
  <c r="J25" i="1"/>
  <c r="I23" i="1"/>
  <c r="L20" i="1"/>
  <c r="L41" i="1"/>
  <c r="K39" i="1"/>
  <c r="J34" i="1"/>
  <c r="H32" i="1"/>
  <c r="H30" i="1"/>
  <c r="L27" i="1"/>
  <c r="I25" i="1"/>
  <c r="H23" i="1"/>
  <c r="K20" i="1"/>
  <c r="J39" i="1"/>
  <c r="I34" i="1"/>
  <c r="G32" i="1"/>
  <c r="G30" i="1"/>
  <c r="K27" i="1"/>
  <c r="H25" i="1"/>
  <c r="G23" i="1"/>
  <c r="J20" i="1"/>
  <c r="J41" i="1"/>
  <c r="I39" i="1"/>
  <c r="L36" i="1"/>
  <c r="H34" i="1"/>
  <c r="F30" i="1"/>
  <c r="J27" i="1"/>
  <c r="G25" i="1"/>
  <c r="F23" i="1"/>
  <c r="I20" i="1"/>
  <c r="J15" i="1"/>
  <c r="K41" i="1"/>
  <c r="I15" i="1"/>
  <c r="J58" i="1"/>
  <c r="I58" i="1"/>
  <c r="L57" i="1"/>
  <c r="L37" i="1"/>
  <c r="L21" i="1"/>
  <c r="H56" i="1"/>
  <c r="K37" i="1"/>
  <c r="L28" i="1"/>
  <c r="K21" i="1"/>
  <c r="G56" i="1"/>
  <c r="J37" i="1"/>
  <c r="L35" i="1"/>
  <c r="K28" i="1"/>
  <c r="J21" i="1"/>
  <c r="L19" i="1"/>
  <c r="L55" i="1"/>
  <c r="L42" i="1"/>
  <c r="I37" i="1"/>
  <c r="K35" i="1"/>
  <c r="J28" i="1"/>
  <c r="L26" i="1"/>
  <c r="I21" i="1"/>
  <c r="K19" i="1"/>
  <c r="K55" i="1"/>
  <c r="K42" i="1"/>
  <c r="H37" i="1"/>
  <c r="J35" i="1"/>
  <c r="L33" i="1"/>
  <c r="I28" i="1"/>
  <c r="K26" i="1"/>
  <c r="H21" i="1"/>
  <c r="J19" i="1"/>
  <c r="L17" i="1"/>
  <c r="J55" i="1"/>
  <c r="J42" i="1"/>
  <c r="L40" i="1"/>
  <c r="G37" i="1"/>
  <c r="I35" i="1"/>
  <c r="K33" i="1"/>
  <c r="H28" i="1"/>
  <c r="J26" i="1"/>
  <c r="L24" i="1"/>
  <c r="G21" i="1"/>
  <c r="I19" i="1"/>
  <c r="K17" i="1"/>
  <c r="I55" i="1"/>
  <c r="I42" i="1"/>
  <c r="K40" i="1"/>
  <c r="H35" i="1"/>
  <c r="J33" i="1"/>
  <c r="L31" i="1"/>
  <c r="G28" i="1"/>
  <c r="I26" i="1"/>
  <c r="K24" i="1"/>
  <c r="H19" i="1"/>
  <c r="J17" i="1"/>
  <c r="L15" i="1"/>
  <c r="H55" i="1"/>
  <c r="H58" i="1"/>
  <c r="G58" i="1"/>
  <c r="K57" i="1"/>
  <c r="J57" i="1"/>
  <c r="L54" i="1"/>
  <c r="I57" i="1"/>
  <c r="K54" i="1"/>
  <c r="L59" i="1"/>
  <c r="H57" i="1"/>
  <c r="J54" i="1"/>
  <c r="K59" i="1"/>
  <c r="G57" i="1"/>
  <c r="I54" i="1"/>
  <c r="J59" i="1"/>
  <c r="L56" i="1"/>
  <c r="I59" i="1"/>
  <c r="K56" i="1"/>
  <c r="G54" i="1"/>
  <c r="H59" i="1"/>
  <c r="J56" i="1"/>
  <c r="H54" i="1"/>
  <c r="J119" i="1"/>
  <c r="F119" i="1"/>
  <c r="G111" i="1"/>
  <c r="F111" i="1"/>
  <c r="G95" i="1"/>
  <c r="F95" i="1"/>
  <c r="G87" i="1"/>
  <c r="F87" i="1"/>
  <c r="G110" i="1"/>
  <c r="F110" i="1"/>
  <c r="G94" i="1"/>
  <c r="F94" i="1"/>
  <c r="G78" i="1"/>
  <c r="F78" i="1"/>
  <c r="H62" i="1"/>
  <c r="F62" i="1"/>
  <c r="K117" i="1"/>
  <c r="F117" i="1"/>
  <c r="G93" i="1"/>
  <c r="F93" i="1"/>
  <c r="G92" i="1"/>
  <c r="F92" i="1"/>
  <c r="G76" i="1"/>
  <c r="F76" i="1"/>
  <c r="G115" i="1"/>
  <c r="F115" i="1"/>
  <c r="G99" i="1"/>
  <c r="F99" i="1"/>
  <c r="G75" i="1"/>
  <c r="F75" i="1"/>
  <c r="G114" i="1"/>
  <c r="F114" i="1"/>
  <c r="G98" i="1"/>
  <c r="F98" i="1"/>
  <c r="G74" i="1"/>
  <c r="F74" i="1"/>
  <c r="K121" i="1"/>
  <c r="F121" i="1"/>
  <c r="G113" i="1"/>
  <c r="F113" i="1"/>
  <c r="G105" i="1"/>
  <c r="F105" i="1"/>
  <c r="G97" i="1"/>
  <c r="F97" i="1"/>
  <c r="G89" i="1"/>
  <c r="F89" i="1"/>
  <c r="H65" i="1"/>
  <c r="F65" i="1"/>
  <c r="G103" i="1"/>
  <c r="F103" i="1"/>
  <c r="G79" i="1"/>
  <c r="F79" i="1"/>
  <c r="H63" i="1"/>
  <c r="F63" i="1"/>
  <c r="G118" i="1"/>
  <c r="F118" i="1"/>
  <c r="G102" i="1"/>
  <c r="F102" i="1"/>
  <c r="G86" i="1"/>
  <c r="F86" i="1"/>
  <c r="H70" i="1"/>
  <c r="F70" i="1"/>
  <c r="G109" i="1"/>
  <c r="F109" i="1"/>
  <c r="G101" i="1"/>
  <c r="F101" i="1"/>
  <c r="G85" i="1"/>
  <c r="F85" i="1"/>
  <c r="G77" i="1"/>
  <c r="F77" i="1"/>
  <c r="H69" i="1"/>
  <c r="F69" i="1"/>
  <c r="H116" i="1"/>
  <c r="F116" i="1"/>
  <c r="G108" i="1"/>
  <c r="F108" i="1"/>
  <c r="G100" i="1"/>
  <c r="F100" i="1"/>
  <c r="G84" i="1"/>
  <c r="F84" i="1"/>
  <c r="H68" i="1"/>
  <c r="F68" i="1"/>
  <c r="G123" i="1"/>
  <c r="F123" i="1"/>
  <c r="G107" i="1"/>
  <c r="F107" i="1"/>
  <c r="G91" i="1"/>
  <c r="F91" i="1"/>
  <c r="H67" i="1"/>
  <c r="F67" i="1"/>
  <c r="G122" i="1"/>
  <c r="F122" i="1"/>
  <c r="G106" i="1"/>
  <c r="F106" i="1"/>
  <c r="G90" i="1"/>
  <c r="F90" i="1"/>
  <c r="G82" i="1"/>
  <c r="F82" i="1"/>
  <c r="H66" i="1"/>
  <c r="F66" i="1"/>
  <c r="H120" i="1"/>
  <c r="F120" i="1"/>
  <c r="G112" i="1"/>
  <c r="F112" i="1"/>
  <c r="G104" i="1"/>
  <c r="F104" i="1"/>
  <c r="G96" i="1"/>
  <c r="F96" i="1"/>
  <c r="G88" i="1"/>
  <c r="F88" i="1"/>
  <c r="G80" i="1"/>
  <c r="F80" i="1"/>
  <c r="H64" i="1"/>
  <c r="F64" i="1"/>
  <c r="H60" i="1"/>
  <c r="F60" i="1"/>
  <c r="H44" i="1"/>
  <c r="H47" i="1"/>
  <c r="H46" i="1"/>
  <c r="H50" i="1"/>
  <c r="H61" i="1"/>
  <c r="F61" i="1"/>
  <c r="H53" i="1"/>
  <c r="H45" i="1"/>
  <c r="H52" i="1"/>
  <c r="H51" i="1"/>
  <c r="H49" i="1"/>
  <c r="H48" i="1"/>
  <c r="G10" i="1"/>
  <c r="H88" i="1"/>
  <c r="H3" i="1"/>
  <c r="G121" i="1"/>
  <c r="G117" i="1"/>
  <c r="G120" i="1"/>
  <c r="G119" i="1"/>
  <c r="G116" i="1"/>
  <c r="H7" i="1"/>
  <c r="H6" i="1"/>
  <c r="H13" i="1"/>
  <c r="H12" i="1"/>
  <c r="H11" i="1"/>
  <c r="H10" i="1"/>
  <c r="H8" i="1"/>
  <c r="H9" i="1"/>
  <c r="H5" i="1"/>
  <c r="H4" i="1"/>
  <c r="L49" i="1"/>
  <c r="G62" i="1"/>
  <c r="G46" i="1"/>
  <c r="G61" i="1"/>
  <c r="G45" i="1"/>
  <c r="G6" i="1"/>
  <c r="G60" i="1"/>
  <c r="G44" i="1"/>
  <c r="G5" i="1"/>
  <c r="G83" i="1"/>
  <c r="G66" i="1"/>
  <c r="G50" i="1"/>
  <c r="G13" i="1"/>
  <c r="G81" i="1"/>
  <c r="G73" i="1"/>
  <c r="G64" i="1"/>
  <c r="G48" i="1"/>
  <c r="G11" i="1"/>
  <c r="G63" i="1"/>
  <c r="G47" i="1"/>
  <c r="G9" i="1"/>
  <c r="G3" i="1"/>
  <c r="G65" i="1"/>
  <c r="G49" i="1"/>
  <c r="G12" i="1"/>
  <c r="G4" i="1"/>
  <c r="G72" i="1"/>
  <c r="G71" i="1"/>
  <c r="G8" i="1"/>
  <c r="G70" i="1"/>
  <c r="G7" i="1"/>
  <c r="G69" i="1"/>
  <c r="G53" i="1"/>
  <c r="G68" i="1"/>
  <c r="G52" i="1"/>
  <c r="G67" i="1"/>
  <c r="G51" i="1"/>
  <c r="L101" i="1"/>
  <c r="I83" i="1"/>
  <c r="L100" i="1"/>
  <c r="L48" i="1"/>
  <c r="K107" i="1"/>
  <c r="J88" i="1"/>
  <c r="L45" i="1"/>
  <c r="H123" i="1"/>
  <c r="I121" i="1"/>
  <c r="I112" i="1"/>
  <c r="H96" i="1"/>
  <c r="H121" i="1"/>
  <c r="L53" i="1"/>
  <c r="L67" i="1"/>
  <c r="L74" i="1"/>
  <c r="J121" i="1"/>
  <c r="K104" i="1"/>
  <c r="K120" i="1"/>
  <c r="K98" i="1"/>
  <c r="L80" i="1"/>
  <c r="L104" i="1"/>
  <c r="L96" i="1"/>
  <c r="K122" i="1"/>
  <c r="K61" i="1"/>
  <c r="K111" i="1"/>
  <c r="L86" i="1"/>
  <c r="L3" i="1"/>
  <c r="J112" i="1"/>
  <c r="K82" i="1"/>
  <c r="I92" i="1"/>
  <c r="L76" i="1"/>
  <c r="L47" i="1"/>
  <c r="J115" i="1"/>
  <c r="L94" i="1"/>
  <c r="L72" i="1"/>
  <c r="J114" i="1"/>
  <c r="J101" i="1"/>
  <c r="J89" i="1"/>
  <c r="K78" i="1"/>
  <c r="L78" i="1"/>
  <c r="K50" i="1"/>
  <c r="J90" i="1"/>
  <c r="H79" i="1"/>
  <c r="K108" i="1"/>
  <c r="J64" i="1"/>
  <c r="L50" i="1"/>
  <c r="K113" i="1"/>
  <c r="K100" i="1"/>
  <c r="K88" i="1"/>
  <c r="L83" i="1"/>
  <c r="H71" i="1"/>
  <c r="K63" i="1"/>
  <c r="K49" i="1"/>
  <c r="H113" i="1"/>
  <c r="H112" i="1"/>
  <c r="H107" i="1"/>
  <c r="L99" i="1"/>
  <c r="H93" i="1"/>
  <c r="L87" i="1"/>
  <c r="H87" i="1"/>
  <c r="I87" i="1"/>
  <c r="J87" i="1"/>
  <c r="K87" i="1"/>
  <c r="H82" i="1"/>
  <c r="L77" i="1"/>
  <c r="H77" i="1"/>
  <c r="J77" i="1"/>
  <c r="K77" i="1"/>
  <c r="K70" i="1"/>
  <c r="L62" i="1"/>
  <c r="I48" i="1"/>
  <c r="K48" i="1"/>
  <c r="K83" i="1"/>
  <c r="K112" i="1"/>
  <c r="J83" i="1"/>
  <c r="I110" i="1"/>
  <c r="L105" i="1"/>
  <c r="L97" i="1"/>
  <c r="J81" i="1"/>
  <c r="L75" i="1"/>
  <c r="L12" i="1"/>
  <c r="H110" i="1"/>
  <c r="I96" i="1"/>
  <c r="K45" i="1"/>
  <c r="J45" i="1"/>
  <c r="I44" i="1"/>
  <c r="I45" i="1"/>
  <c r="I91" i="1"/>
  <c r="L103" i="1"/>
  <c r="L52" i="1"/>
  <c r="K95" i="1"/>
  <c r="K101" i="1"/>
  <c r="J73" i="1"/>
  <c r="I65" i="1"/>
  <c r="I73" i="1"/>
  <c r="I63" i="1"/>
  <c r="J100" i="1"/>
  <c r="K79" i="1"/>
  <c r="H73" i="1"/>
  <c r="L71" i="1"/>
  <c r="K52" i="1"/>
  <c r="I115" i="1"/>
  <c r="H100" i="1"/>
  <c r="I79" i="1"/>
  <c r="J62" i="1"/>
  <c r="J52" i="1"/>
  <c r="J44" i="1"/>
  <c r="L91" i="1"/>
  <c r="L66" i="1"/>
  <c r="H115" i="1"/>
  <c r="L89" i="1"/>
  <c r="L64" i="1"/>
  <c r="J108" i="1"/>
  <c r="J99" i="1"/>
  <c r="K84" i="1"/>
  <c r="J78" i="1"/>
  <c r="J51" i="1"/>
  <c r="L88" i="1"/>
  <c r="L63" i="1"/>
  <c r="J113" i="1"/>
  <c r="H99" i="1"/>
  <c r="K71" i="1"/>
  <c r="J49" i="1"/>
  <c r="L102" i="1"/>
  <c r="L79" i="1"/>
  <c r="L51" i="1"/>
  <c r="J95" i="1"/>
  <c r="K65" i="1"/>
  <c r="J102" i="1"/>
  <c r="H94" i="1"/>
  <c r="K73" i="1"/>
  <c r="J65" i="1"/>
  <c r="I100" i="1"/>
  <c r="J79" i="1"/>
  <c r="H72" i="1"/>
  <c r="K62" i="1"/>
  <c r="I62" i="1"/>
  <c r="I52" i="1"/>
  <c r="L90" i="1"/>
  <c r="L65" i="1"/>
  <c r="K99" i="1"/>
  <c r="K114" i="1"/>
  <c r="I108" i="1"/>
  <c r="I99" i="1"/>
  <c r="J84" i="1"/>
  <c r="I84" i="1"/>
  <c r="I113" i="1"/>
  <c r="H84" i="1"/>
  <c r="J71" i="1"/>
  <c r="I49" i="1"/>
  <c r="J69" i="1"/>
  <c r="I12" i="1"/>
  <c r="K105" i="1"/>
  <c r="I95" i="1"/>
  <c r="K91" i="1"/>
  <c r="I69" i="1"/>
  <c r="J105" i="1"/>
  <c r="H95" i="1"/>
  <c r="J91" i="1"/>
  <c r="K51" i="1"/>
  <c r="K44" i="1"/>
  <c r="L95" i="1"/>
  <c r="L73" i="1"/>
  <c r="L44" i="1"/>
  <c r="K109" i="1"/>
  <c r="H91" i="1"/>
  <c r="J61" i="1"/>
  <c r="L60" i="1"/>
  <c r="L85" i="1"/>
  <c r="L61" i="1"/>
  <c r="L46" i="1"/>
  <c r="H108" i="1"/>
  <c r="K64" i="1"/>
  <c r="L84" i="1"/>
  <c r="J103" i="1"/>
  <c r="H118" i="1"/>
  <c r="K69" i="1"/>
  <c r="L98" i="1"/>
  <c r="H105" i="1"/>
  <c r="K90" i="1"/>
  <c r="J118" i="1"/>
  <c r="K103" i="1"/>
  <c r="J122" i="1"/>
  <c r="I90" i="1"/>
  <c r="I122" i="1"/>
  <c r="I103" i="1"/>
  <c r="H90" i="1"/>
  <c r="H122" i="1"/>
  <c r="H103" i="1"/>
  <c r="K96" i="1"/>
  <c r="I77" i="1"/>
  <c r="I71" i="1"/>
  <c r="J63" i="1"/>
  <c r="J48" i="1"/>
  <c r="L107" i="1"/>
  <c r="L93" i="1"/>
  <c r="L82" i="1"/>
  <c r="L70" i="1"/>
  <c r="J109" i="1"/>
  <c r="I60" i="1"/>
  <c r="K118" i="1"/>
  <c r="K116" i="1"/>
  <c r="I111" i="1"/>
  <c r="J96" i="1"/>
  <c r="H85" i="1"/>
  <c r="L106" i="1"/>
  <c r="L92" i="1"/>
  <c r="L69" i="1"/>
  <c r="L13" i="1"/>
  <c r="L7" i="1"/>
  <c r="I119" i="1"/>
  <c r="I105" i="1"/>
  <c r="H119" i="1"/>
  <c r="I118" i="1"/>
  <c r="L4" i="1"/>
  <c r="J116" i="1"/>
  <c r="K102" i="1"/>
  <c r="K93" i="1"/>
  <c r="I88" i="1"/>
  <c r="L81" i="1"/>
  <c r="L68" i="1"/>
  <c r="K8" i="1"/>
  <c r="J8" i="1"/>
  <c r="L11" i="1"/>
  <c r="L10" i="1"/>
  <c r="L9" i="1"/>
  <c r="L8" i="1"/>
  <c r="I8" i="1"/>
  <c r="L6" i="1"/>
  <c r="L5" i="1"/>
  <c r="H86" i="1"/>
  <c r="I47" i="1"/>
  <c r="I116" i="1"/>
  <c r="K106" i="1"/>
  <c r="H92" i="1"/>
  <c r="K124" i="1"/>
  <c r="J106" i="1"/>
  <c r="J98" i="1"/>
  <c r="I123" i="1"/>
  <c r="J123" i="1"/>
  <c r="K123" i="1"/>
  <c r="I94" i="1"/>
  <c r="J94" i="1"/>
  <c r="K94" i="1"/>
  <c r="I85" i="1"/>
  <c r="J85" i="1"/>
  <c r="K85" i="1"/>
  <c r="J124" i="1"/>
  <c r="I106" i="1"/>
  <c r="I102" i="1"/>
  <c r="I98" i="1"/>
  <c r="K89" i="1"/>
  <c r="H81" i="1"/>
  <c r="I74" i="1"/>
  <c r="J66" i="1"/>
  <c r="I51" i="1"/>
  <c r="H76" i="1"/>
  <c r="J76" i="1"/>
  <c r="J110" i="1"/>
  <c r="K110" i="1"/>
  <c r="J97" i="1"/>
  <c r="K97" i="1"/>
  <c r="J75" i="1"/>
  <c r="K75" i="1"/>
  <c r="J46" i="1"/>
  <c r="K46" i="1"/>
  <c r="J12" i="1"/>
  <c r="K68" i="1"/>
  <c r="K92" i="1"/>
  <c r="I75" i="1"/>
  <c r="J117" i="1"/>
  <c r="H117" i="1"/>
  <c r="I117" i="1"/>
  <c r="J104" i="1"/>
  <c r="H104" i="1"/>
  <c r="I104" i="1"/>
  <c r="K67" i="1"/>
  <c r="I67" i="1"/>
  <c r="J67" i="1"/>
  <c r="J92" i="1"/>
  <c r="K47" i="1"/>
  <c r="I109" i="1"/>
  <c r="K74" i="1"/>
  <c r="H109" i="1"/>
  <c r="I81" i="1"/>
  <c r="J74" i="1"/>
  <c r="K66" i="1"/>
  <c r="I46" i="1"/>
  <c r="I124" i="1"/>
  <c r="K119" i="1"/>
  <c r="K115" i="1"/>
  <c r="H106" i="1"/>
  <c r="H102" i="1"/>
  <c r="I97" i="1"/>
  <c r="H74" i="1"/>
  <c r="I66" i="1"/>
  <c r="H111" i="1"/>
  <c r="H98" i="1"/>
  <c r="I61" i="1"/>
  <c r="K76" i="1"/>
  <c r="J60" i="1"/>
  <c r="K60" i="1"/>
  <c r="I76" i="1"/>
  <c r="K86" i="1"/>
  <c r="J68" i="1"/>
  <c r="J80" i="1"/>
  <c r="H80" i="1"/>
  <c r="I80" i="1"/>
  <c r="K53" i="1"/>
  <c r="I53" i="1"/>
  <c r="J53" i="1"/>
  <c r="J86" i="1"/>
  <c r="H75" i="1"/>
  <c r="I68" i="1"/>
  <c r="I86" i="1"/>
  <c r="K81" i="1"/>
  <c r="J47" i="1"/>
  <c r="I72" i="1"/>
  <c r="J72" i="1"/>
  <c r="K72" i="1"/>
  <c r="H114" i="1"/>
  <c r="I114" i="1"/>
  <c r="H101" i="1"/>
  <c r="I101" i="1"/>
  <c r="H89" i="1"/>
  <c r="I89" i="1"/>
  <c r="H78" i="1"/>
  <c r="I78" i="1"/>
  <c r="I64" i="1"/>
  <c r="I50" i="1"/>
  <c r="J50" i="1"/>
  <c r="H124" i="1"/>
  <c r="J111" i="1"/>
  <c r="H97" i="1"/>
  <c r="K80" i="1"/>
  <c r="J120" i="1"/>
  <c r="J107" i="1"/>
  <c r="J93" i="1"/>
  <c r="J82" i="1"/>
  <c r="J70" i="1"/>
  <c r="J4" i="1"/>
  <c r="I120" i="1"/>
  <c r="I107" i="1"/>
  <c r="I93" i="1"/>
  <c r="I82" i="1"/>
  <c r="I70" i="1"/>
  <c r="J9" i="1"/>
  <c r="J11" i="1"/>
  <c r="K11" i="1"/>
  <c r="I11" i="1"/>
  <c r="K12" i="1"/>
  <c r="I9" i="1"/>
  <c r="I6" i="1"/>
  <c r="K4" i="1"/>
  <c r="K5" i="1"/>
  <c r="K9" i="1"/>
  <c r="J7" i="1"/>
  <c r="I5" i="1"/>
  <c r="K7" i="1"/>
  <c r="J5" i="1"/>
  <c r="K10" i="1"/>
  <c r="I7" i="1"/>
  <c r="J13" i="1"/>
  <c r="I10" i="1"/>
  <c r="I4" i="1"/>
  <c r="J6" i="1"/>
  <c r="K13" i="1"/>
  <c r="J10" i="1"/>
  <c r="I13" i="1"/>
  <c r="K6" i="1"/>
  <c r="K3" i="1"/>
</calcChain>
</file>

<file path=xl/sharedStrings.xml><?xml version="1.0" encoding="utf-8"?>
<sst xmlns="http://schemas.openxmlformats.org/spreadsheetml/2006/main" count="58" uniqueCount="56">
  <si>
    <t>First Name</t>
  </si>
  <si>
    <t>Last Name</t>
  </si>
  <si>
    <t>Company Domain</t>
  </si>
  <si>
    <t>First.Last@</t>
  </si>
  <si>
    <t>F.Last@</t>
  </si>
  <si>
    <t>FLast@</t>
  </si>
  <si>
    <t>.</t>
  </si>
  <si>
    <t>F_Last@</t>
  </si>
  <si>
    <t>_</t>
  </si>
  <si>
    <t>First_Last@</t>
  </si>
  <si>
    <t>Trimmed First Name</t>
  </si>
  <si>
    <t>Trimmed Last Name</t>
  </si>
  <si>
    <t>FirstLast@</t>
  </si>
  <si>
    <t>Position</t>
  </si>
  <si>
    <t>First@</t>
  </si>
  <si>
    <t>HR Business Partner</t>
  </si>
  <si>
    <t>Senior Business Analyst</t>
  </si>
  <si>
    <t>Alex</t>
  </si>
  <si>
    <t>Neelaveni</t>
  </si>
  <si>
    <t>Senthilkumar</t>
  </si>
  <si>
    <t>Project Manager IT Infrastructure and Security</t>
  </si>
  <si>
    <t>Daniel</t>
  </si>
  <si>
    <t>Reader</t>
  </si>
  <si>
    <t>Information Security Specialist</t>
  </si>
  <si>
    <t>Suadik</t>
  </si>
  <si>
    <t>Braimah</t>
  </si>
  <si>
    <t>Cyber Security Advocate</t>
  </si>
  <si>
    <t>Bob</t>
  </si>
  <si>
    <t>Moskal</t>
  </si>
  <si>
    <t>Manager of Security</t>
  </si>
  <si>
    <t>Richard</t>
  </si>
  <si>
    <t>Dela Cruz</t>
  </si>
  <si>
    <t>IT Support Specialist</t>
  </si>
  <si>
    <t>Diego</t>
  </si>
  <si>
    <t>Garavito</t>
  </si>
  <si>
    <t>Senior Developer Enterprise Systems</t>
  </si>
  <si>
    <t>George</t>
  </si>
  <si>
    <t>Campian</t>
  </si>
  <si>
    <t>Amal</t>
  </si>
  <si>
    <t>Hapuarachchi</t>
  </si>
  <si>
    <t>ERP Software Developer</t>
  </si>
  <si>
    <t>Putman</t>
  </si>
  <si>
    <t>Head of Talent Acquisition</t>
  </si>
  <si>
    <t>Marleni</t>
  </si>
  <si>
    <t>Rosario</t>
  </si>
  <si>
    <t>Talent Acquisition Manager</t>
  </si>
  <si>
    <t>Haley</t>
  </si>
  <si>
    <t>Walls</t>
  </si>
  <si>
    <t>Lidya</t>
  </si>
  <si>
    <t>Gonzalez</t>
  </si>
  <si>
    <t>Human Resource Manager</t>
  </si>
  <si>
    <t>Mike</t>
  </si>
  <si>
    <t>McDaniel</t>
  </si>
  <si>
    <t>Vice President Human Resources</t>
  </si>
  <si>
    <t>priceindustries.com</t>
  </si>
  <si>
    <t>FirstL@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</si>
</sst>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1" applyFont="1" applyBorder="1"/>
    <xf numFmtId="0" fontId="2" fillId="0" borderId="0" xfId="1" applyBorder="1"/>
    <xf numFmtId="0" fontId="1" fillId="0" borderId="1" xfId="0" applyFont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irstL@" TargetMode="External"/><Relationship Id="rId3" Type="http://schemas.openxmlformats.org/officeDocument/2006/relationships/hyperlink" Target="mailto:FLast@" TargetMode="External"/><Relationship Id="rId7" Type="http://schemas.openxmlformats.org/officeDocument/2006/relationships/hyperlink" Target="mailto:First@" TargetMode="External"/><Relationship Id="rId2" Type="http://schemas.openxmlformats.org/officeDocument/2006/relationships/hyperlink" Target="mailto:First.Last@" TargetMode="External"/><Relationship Id="rId1" Type="http://schemas.openxmlformats.org/officeDocument/2006/relationships/hyperlink" Target="mailto:F.Last@" TargetMode="External"/><Relationship Id="rId6" Type="http://schemas.openxmlformats.org/officeDocument/2006/relationships/hyperlink" Target="mailto:FirstLast@" TargetMode="External"/><Relationship Id="rId5" Type="http://schemas.openxmlformats.org/officeDocument/2006/relationships/hyperlink" Target="mailto:First_Last@" TargetMode="External"/><Relationship Id="rId4" Type="http://schemas.openxmlformats.org/officeDocument/2006/relationships/hyperlink" Target="mailto:F_Last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4"/>
  <sheetViews>
    <sheetView tabSelected="1" topLeftCell="A2" workbookViewId="0">
      <selection activeCell="M3" activeCellId="1" sqref="A3:A15 M3:M15"/>
    </sheetView>
  </sheetViews>
  <sheetFormatPr defaultRowHeight="14.4" x14ac:dyDescent="0.3"/>
  <cols>
    <col min="2" max="2" width="20.77734375" bestFit="1" customWidth="1"/>
    <col min="3" max="3" width="20.77734375" customWidth="1"/>
    <col min="4" max="5" width="8.88671875" customWidth="1"/>
    <col min="6" max="6" width="6.44140625" customWidth="1"/>
    <col min="7" max="7" width="6.5546875" customWidth="1"/>
    <col min="8" max="8" width="10.33203125" customWidth="1"/>
    <col min="9" max="9" width="7.109375" customWidth="1"/>
    <col min="11" max="11" width="10.77734375" customWidth="1"/>
    <col min="12" max="13" width="9.44140625" customWidth="1"/>
    <col min="14" max="14" width="15.5546875" bestFit="1" customWidth="1"/>
    <col min="15" max="15" width="12.88671875" bestFit="1" customWidth="1"/>
    <col min="16" max="16" width="15.5546875" bestFit="1" customWidth="1"/>
  </cols>
  <sheetData>
    <row r="1" spans="1:15" hidden="1" x14ac:dyDescent="0.3">
      <c r="G1" s="1" t="s">
        <v>6</v>
      </c>
      <c r="H1" s="1" t="s">
        <v>6</v>
      </c>
      <c r="I1" s="1"/>
      <c r="J1" s="1" t="s">
        <v>8</v>
      </c>
      <c r="K1" s="1" t="s">
        <v>8</v>
      </c>
      <c r="L1" s="1"/>
      <c r="M1" s="1"/>
    </row>
    <row r="2" spans="1:15" x14ac:dyDescent="0.3">
      <c r="A2" s="1" t="s">
        <v>0</v>
      </c>
      <c r="B2" s="1" t="s">
        <v>1</v>
      </c>
      <c r="C2" s="1" t="s">
        <v>13</v>
      </c>
      <c r="D2" s="1" t="s">
        <v>10</v>
      </c>
      <c r="E2" s="1" t="s">
        <v>11</v>
      </c>
      <c r="F2" s="2" t="s">
        <v>14</v>
      </c>
      <c r="G2" s="2" t="s">
        <v>4</v>
      </c>
      <c r="H2" s="2" t="s">
        <v>3</v>
      </c>
      <c r="I2" s="2" t="s">
        <v>5</v>
      </c>
      <c r="J2" s="2" t="s">
        <v>7</v>
      </c>
      <c r="K2" s="2" t="s">
        <v>9</v>
      </c>
      <c r="L2" s="3" t="s">
        <v>12</v>
      </c>
      <c r="M2" s="3" t="s">
        <v>55</v>
      </c>
      <c r="N2" s="4" t="s">
        <v>2</v>
      </c>
      <c r="O2" s="5" t="s">
        <v>54</v>
      </c>
    </row>
    <row r="3" spans="1:15" x14ac:dyDescent="0.3">
      <c r="A3" t="s">
        <v>18</v>
      </c>
      <c r="B3" t="s">
        <v>19</v>
      </c>
      <c r="C3" t="s">
        <v>20</v>
      </c>
      <c r="D3" t="str">
        <f>IF(A3&lt;&gt;"",TRIM(A3),"")</f>
        <v>Neelaveni</v>
      </c>
      <c r="E3" t="str">
        <f>IF(B3&lt;&gt;"",TRIM(B3),"")</f>
        <v>Senthilkumar</v>
      </c>
      <c r="F3" t="str">
        <f>IF($D3&lt;&gt;"",_xlfn.CONCAT(A3,"@",$O$2),"")</f>
        <v>Neelaveni@priceindustries.com</v>
      </c>
      <c r="G3" t="str">
        <f>IF($D3&lt;&gt;"",LOWER(CONCATENATE(LEFT($D3,1),G$1,$E3,"@",$O$2)),"")</f>
        <v>n.senthilkumar@priceindustries.com</v>
      </c>
      <c r="H3" t="str">
        <f>IF($D3&lt;&gt;"",LOWER((CONCATENATE($D3,H$1,$E3,"@",$O$2))),"")</f>
        <v>neelaveni.senthilkumar@priceindustries.com</v>
      </c>
      <c r="I3" t="str">
        <f>IF($D3&lt;&gt;"",LOWER(CONCATENATE(LEFT($D3,1),I$1,$E3,"@",$O$2)),"")</f>
        <v>nsenthilkumar@priceindustries.com</v>
      </c>
      <c r="J3" t="str">
        <f>IF($D3&lt;&gt;"",LOWER(CONCATENATE(LEFT($D3,1),J$1,$E3,"@",$O$2)),"")</f>
        <v>n_senthilkumar@priceindustries.com</v>
      </c>
      <c r="K3" t="str">
        <f>IF($D3&lt;&gt;"",LOWER(CONCATENATE($D3,K$1,$E3,"@",$O$2)),"")</f>
        <v>neelaveni_senthilkumar@priceindustries.com</v>
      </c>
      <c r="L3" t="str">
        <f>IF($D3&lt;&gt;"",LOWER(CONCATENATE($D3,L$1,$E3,"@",$O$2)),"")</f>
        <v>neelavenisenthilkumar@priceindustries.com</v>
      </c>
      <c r="M3" t="str">
        <f>IF($D3&lt;&gt;"",LOWER(CONCATENATE($D3,M$1,LEFT($E3,1),"@",$O$2)),"")</f>
        <v>neelavenis@priceindustries.com</v>
      </c>
    </row>
    <row r="4" spans="1:15" x14ac:dyDescent="0.3">
      <c r="A4" t="s">
        <v>21</v>
      </c>
      <c r="B4" t="s">
        <v>22</v>
      </c>
      <c r="C4" t="s">
        <v>23</v>
      </c>
      <c r="D4" t="str">
        <f t="shared" ref="D4:D8" si="0">IF(A4&lt;&gt;"",TRIM(A4),"")</f>
        <v>Daniel</v>
      </c>
      <c r="E4" t="str">
        <f t="shared" ref="E4:E8" si="1">IF(B4&lt;&gt;"",TRIM(B4),"")</f>
        <v>Reader</v>
      </c>
      <c r="F4" t="str">
        <f>IF($D4&lt;&gt;"",_xlfn.CONCAT(A4,"@",$O$2),"")</f>
        <v>Daniel@priceindustries.com</v>
      </c>
      <c r="G4" t="str">
        <f>IF($D4&lt;&gt;"",LOWER(CONCATENATE(LEFT($D4,1),G$1,$E4,"@",$O$2)),"")</f>
        <v>d.reader@priceindustries.com</v>
      </c>
      <c r="H4" t="str">
        <f>IF($D4&lt;&gt;"",LOWER((CONCATENATE($D4,H$1,$E4,"@",$O$2))),"")</f>
        <v>daniel.reader@priceindustries.com</v>
      </c>
      <c r="I4" t="str">
        <f>IF($D4&lt;&gt;"",LOWER(CONCATENATE(LEFT($D4,1),I$1,$E4,"@",$O$2)),"")</f>
        <v>dreader@priceindustries.com</v>
      </c>
      <c r="J4" t="str">
        <f>IF($D4&lt;&gt;"",LOWER(CONCATENATE(LEFT($D4,1),J$1,$E4,"@",$O$2)),"")</f>
        <v>d_reader@priceindustries.com</v>
      </c>
      <c r="K4" t="str">
        <f>IF($D4&lt;&gt;"",LOWER(CONCATENATE($D4,K$1,$E4,"@",$O$2)),"")</f>
        <v>daniel_reader@priceindustries.com</v>
      </c>
      <c r="L4" t="str">
        <f>IF($D4&lt;&gt;"",LOWER(CONCATENATE($D4,L$1,$E4,"@",$O$2)),"")</f>
        <v>danielreader@priceindustries.com</v>
      </c>
      <c r="M4" t="str">
        <f t="shared" ref="M4:M67" si="2">IF($D4&lt;&gt;"",LOWER(CONCATENATE($D4,M$1,LEFT($E4,1),"@",$O$2)),"")</f>
        <v>danielr@priceindustries.com</v>
      </c>
    </row>
    <row r="5" spans="1:15" x14ac:dyDescent="0.3">
      <c r="A5" t="s">
        <v>24</v>
      </c>
      <c r="B5" t="s">
        <v>25</v>
      </c>
      <c r="C5" t="s">
        <v>26</v>
      </c>
      <c r="D5" t="str">
        <f t="shared" si="0"/>
        <v>Suadik</v>
      </c>
      <c r="E5" t="str">
        <f t="shared" si="1"/>
        <v>Braimah</v>
      </c>
      <c r="F5" t="str">
        <f>IF($D5&lt;&gt;"",_xlfn.CONCAT(A5,"@",$O$2),"")</f>
        <v>Suadik@priceindustries.com</v>
      </c>
      <c r="G5" t="str">
        <f>IF($D5&lt;&gt;"",LOWER(CONCATENATE(LEFT($D5,1),G$1,$E5,"@",$O$2)),"")</f>
        <v>s.braimah@priceindustries.com</v>
      </c>
      <c r="H5" t="str">
        <f>IF($D5&lt;&gt;"",LOWER((CONCATENATE($D5,H$1,$E5,"@",$O$2))),"")</f>
        <v>suadik.braimah@priceindustries.com</v>
      </c>
      <c r="I5" t="str">
        <f>IF($D5&lt;&gt;"",LOWER(CONCATENATE(LEFT($D5,1),I$1,$E5,"@",$O$2)),"")</f>
        <v>sbraimah@priceindustries.com</v>
      </c>
      <c r="J5" t="str">
        <f>IF($D5&lt;&gt;"",LOWER(CONCATENATE(LEFT($D5,1),J$1,$E5,"@",$O$2)),"")</f>
        <v>s_braimah@priceindustries.com</v>
      </c>
      <c r="K5" t="str">
        <f>IF($D5&lt;&gt;"",LOWER(CONCATENATE($D5,K$1,$E5,"@",$O$2)),"")</f>
        <v>suadik_braimah@priceindustries.com</v>
      </c>
      <c r="L5" t="str">
        <f>IF($D5&lt;&gt;"",LOWER(CONCATENATE($D5,L$1,$E5,"@",$O$2)),"")</f>
        <v>suadikbraimah@priceindustries.com</v>
      </c>
      <c r="M5" t="str">
        <f t="shared" si="2"/>
        <v>suadikb@priceindustries.com</v>
      </c>
    </row>
    <row r="6" spans="1:15" x14ac:dyDescent="0.3">
      <c r="A6" t="s">
        <v>27</v>
      </c>
      <c r="B6" t="s">
        <v>28</v>
      </c>
      <c r="C6" t="s">
        <v>29</v>
      </c>
      <c r="D6" t="str">
        <f t="shared" si="0"/>
        <v>Bob</v>
      </c>
      <c r="E6" t="str">
        <f t="shared" si="1"/>
        <v>Moskal</v>
      </c>
      <c r="F6" t="str">
        <f>IF($D6&lt;&gt;"",_xlfn.CONCAT(A6,"@",$O$2),"")</f>
        <v>Bob@priceindustries.com</v>
      </c>
      <c r="G6" t="str">
        <f>IF($D6&lt;&gt;"",LOWER(CONCATENATE(LEFT($D6,1),G$1,$E6,"@",$O$2)),"")</f>
        <v>b.moskal@priceindustries.com</v>
      </c>
      <c r="H6" t="str">
        <f>IF($D6&lt;&gt;"",LOWER((CONCATENATE($D6,H$1,$E6,"@",$O$2))),"")</f>
        <v>bob.moskal@priceindustries.com</v>
      </c>
      <c r="I6" t="str">
        <f>IF($D6&lt;&gt;"",LOWER(CONCATENATE(LEFT($D6,1),I$1,$E6,"@",$O$2)),"")</f>
        <v>bmoskal@priceindustries.com</v>
      </c>
      <c r="J6" t="str">
        <f>IF($D6&lt;&gt;"",LOWER(CONCATENATE(LEFT($D6,1),J$1,$E6,"@",$O$2)),"")</f>
        <v>b_moskal@priceindustries.com</v>
      </c>
      <c r="K6" t="str">
        <f>IF($D6&lt;&gt;"",LOWER(CONCATENATE($D6,K$1,$E6,"@",$O$2)),"")</f>
        <v>bob_moskal@priceindustries.com</v>
      </c>
      <c r="L6" t="str">
        <f>IF($D6&lt;&gt;"",LOWER(CONCATENATE($D6,L$1,$E6,"@",$O$2)),"")</f>
        <v>bobmoskal@priceindustries.com</v>
      </c>
      <c r="M6" t="str">
        <f t="shared" si="2"/>
        <v>bobm@priceindustries.com</v>
      </c>
    </row>
    <row r="7" spans="1:15" x14ac:dyDescent="0.3">
      <c r="A7" t="s">
        <v>30</v>
      </c>
      <c r="B7" t="s">
        <v>31</v>
      </c>
      <c r="C7" t="s">
        <v>32</v>
      </c>
      <c r="D7" t="str">
        <f t="shared" si="0"/>
        <v>Richard</v>
      </c>
      <c r="E7" t="str">
        <f t="shared" si="1"/>
        <v>Dela Cruz</v>
      </c>
      <c r="F7" t="str">
        <f>IF($D7&lt;&gt;"",_xlfn.CONCAT(A7,"@",$O$2),"")</f>
        <v>Richard@priceindustries.com</v>
      </c>
      <c r="G7" t="str">
        <f>IF($D7&lt;&gt;"",LOWER(CONCATENATE(LEFT($D7,1),G$1,$E7,"@",$O$2)),"")</f>
        <v>r.dela cruz@priceindustries.com</v>
      </c>
      <c r="H7" t="str">
        <f>IF($D7&lt;&gt;"",LOWER((CONCATENATE($D7,H$1,$E7,"@",$O$2))),"")</f>
        <v>richard.dela cruz@priceindustries.com</v>
      </c>
      <c r="I7" t="str">
        <f>IF($D7&lt;&gt;"",LOWER(CONCATENATE(LEFT($D7,1),I$1,$E7,"@",$O$2)),"")</f>
        <v>rdela cruz@priceindustries.com</v>
      </c>
      <c r="J7" t="str">
        <f>IF($D7&lt;&gt;"",LOWER(CONCATENATE(LEFT($D7,1),J$1,$E7,"@",$O$2)),"")</f>
        <v>r_dela cruz@priceindustries.com</v>
      </c>
      <c r="K7" t="str">
        <f>IF($D7&lt;&gt;"",LOWER(CONCATENATE($D7,K$1,$E7,"@",$O$2)),"")</f>
        <v>richard_dela cruz@priceindustries.com</v>
      </c>
      <c r="L7" t="str">
        <f>IF($D7&lt;&gt;"",LOWER(CONCATENATE($D7,L$1,$E7,"@",$O$2)),"")</f>
        <v>richarddela cruz@priceindustries.com</v>
      </c>
      <c r="M7" t="str">
        <f t="shared" si="2"/>
        <v>richardd@priceindustries.com</v>
      </c>
    </row>
    <row r="8" spans="1:15" x14ac:dyDescent="0.3">
      <c r="A8" t="s">
        <v>33</v>
      </c>
      <c r="B8" t="s">
        <v>34</v>
      </c>
      <c r="C8" t="s">
        <v>35</v>
      </c>
      <c r="D8" t="str">
        <f t="shared" si="0"/>
        <v>Diego</v>
      </c>
      <c r="E8" t="str">
        <f t="shared" si="1"/>
        <v>Garavito</v>
      </c>
      <c r="F8" t="str">
        <f>IF($D8&lt;&gt;"",_xlfn.CONCAT(A8,"@",$O$2),"")</f>
        <v>Diego@priceindustries.com</v>
      </c>
      <c r="G8" t="str">
        <f>IF($D8&lt;&gt;"",LOWER(CONCATENATE(LEFT($D8,1),G$1,$E8,"@",$O$2)),"")</f>
        <v>d.garavito@priceindustries.com</v>
      </c>
      <c r="H8" t="str">
        <f>IF($D8&lt;&gt;"",LOWER((CONCATENATE($D8,H$1,$E8,"@",$O$2))),"")</f>
        <v>diego.garavito@priceindustries.com</v>
      </c>
      <c r="I8" t="str">
        <f>IF($D8&lt;&gt;"",LOWER(CONCATENATE(LEFT($D8,1),I$1,$E8,"@",$O$2)),"")</f>
        <v>dgaravito@priceindustries.com</v>
      </c>
      <c r="J8" t="str">
        <f>IF($D8&lt;&gt;"",LOWER(CONCATENATE(LEFT($D8,1),J$1,$E8,"@",$O$2)),"")</f>
        <v>d_garavito@priceindustries.com</v>
      </c>
      <c r="K8" t="str">
        <f>IF($D8&lt;&gt;"",LOWER(CONCATENATE($D8,K$1,$E8,"@",$O$2)),"")</f>
        <v>diego_garavito@priceindustries.com</v>
      </c>
      <c r="L8" t="str">
        <f>IF($D8&lt;&gt;"",LOWER(CONCATENATE($D8,L$1,$E8,"@",$O$2)),"")</f>
        <v>diegogaravito@priceindustries.com</v>
      </c>
      <c r="M8" t="str">
        <f t="shared" si="2"/>
        <v>diegog@priceindustries.com</v>
      </c>
    </row>
    <row r="9" spans="1:15" x14ac:dyDescent="0.3">
      <c r="A9" t="s">
        <v>36</v>
      </c>
      <c r="B9" t="s">
        <v>37</v>
      </c>
      <c r="C9" t="s">
        <v>16</v>
      </c>
      <c r="D9" t="str">
        <f>IF(A9&lt;&gt;"",TRIM(A9),"")</f>
        <v>George</v>
      </c>
      <c r="E9" t="str">
        <f>IF(B9&lt;&gt;"",TRIM(B9),"")</f>
        <v>Campian</v>
      </c>
      <c r="F9" t="str">
        <f>IF($D9&lt;&gt;"",_xlfn.CONCAT(A9,"@",$O$2),"")</f>
        <v>George@priceindustries.com</v>
      </c>
      <c r="G9" t="str">
        <f>IF($D9&lt;&gt;"",LOWER(CONCATENATE(LEFT($D9,1),G$1,$E9,"@",$O$2)),"")</f>
        <v>g.campian@priceindustries.com</v>
      </c>
      <c r="H9" t="str">
        <f>IF($D9&lt;&gt;"",LOWER((CONCATENATE($D9,H$1,$E9,"@",$O$2))),"")</f>
        <v>george.campian@priceindustries.com</v>
      </c>
      <c r="I9" t="str">
        <f>IF($D9&lt;&gt;"",LOWER(CONCATENATE(LEFT($D9,1),I$1,$E9,"@",$O$2)),"")</f>
        <v>gcampian@priceindustries.com</v>
      </c>
      <c r="J9" t="str">
        <f>IF($D9&lt;&gt;"",LOWER(CONCATENATE(LEFT($D9,1),J$1,$E9,"@",$O$2)),"")</f>
        <v>g_campian@priceindustries.com</v>
      </c>
      <c r="K9" t="str">
        <f>IF($D9&lt;&gt;"",LOWER(CONCATENATE($D9,K$1,$E9,"@",$O$2)),"")</f>
        <v>george_campian@priceindustries.com</v>
      </c>
      <c r="L9" t="str">
        <f>IF($D9&lt;&gt;"",LOWER(CONCATENATE($D9,L$1,$E9,"@",$O$2)),"")</f>
        <v>georgecampian@priceindustries.com</v>
      </c>
      <c r="M9" t="str">
        <f t="shared" si="2"/>
        <v>georgec@priceindustries.com</v>
      </c>
    </row>
    <row r="10" spans="1:15" x14ac:dyDescent="0.3">
      <c r="A10" t="s">
        <v>38</v>
      </c>
      <c r="B10" t="s">
        <v>39</v>
      </c>
      <c r="C10" t="s">
        <v>40</v>
      </c>
      <c r="D10" t="str">
        <f t="shared" ref="D10:D16" si="3">IF(A10&lt;&gt;"",TRIM(A10),"")</f>
        <v>Amal</v>
      </c>
      <c r="E10" t="str">
        <f t="shared" ref="E10:E16" si="4">IF(B10&lt;&gt;"",TRIM(B10),"")</f>
        <v>Hapuarachchi</v>
      </c>
      <c r="F10" t="str">
        <f>IF($D10&lt;&gt;"",_xlfn.CONCAT(A10,"@",$O$2),"")</f>
        <v>Amal@priceindustries.com</v>
      </c>
      <c r="G10" t="str">
        <f>IF($D10&lt;&gt;"",LOWER(CONCATENATE(LEFT($D10,1),G$1,$E10,"@",$O$2)),"")</f>
        <v>a.hapuarachchi@priceindustries.com</v>
      </c>
      <c r="H10" t="str">
        <f>IF($D10&lt;&gt;"",LOWER((CONCATENATE($D10,H$1,$E10,"@",$O$2))),"")</f>
        <v>amal.hapuarachchi@priceindustries.com</v>
      </c>
      <c r="I10" t="str">
        <f>IF($D10&lt;&gt;"",LOWER(CONCATENATE(LEFT($D10,1),I$1,$E10,"@",$O$2)),"")</f>
        <v>ahapuarachchi@priceindustries.com</v>
      </c>
      <c r="J10" t="str">
        <f>IF($D10&lt;&gt;"",LOWER(CONCATENATE(LEFT($D10,1),J$1,$E10,"@",$O$2)),"")</f>
        <v>a_hapuarachchi@priceindustries.com</v>
      </c>
      <c r="K10" t="str">
        <f>IF($D10&lt;&gt;"",LOWER(CONCATENATE($D10,K$1,$E10,"@",$O$2)),"")</f>
        <v>amal_hapuarachchi@priceindustries.com</v>
      </c>
      <c r="L10" t="str">
        <f>IF($D10&lt;&gt;"",LOWER(CONCATENATE($D10,L$1,$E10,"@",$O$2)),"")</f>
        <v>amalhapuarachchi@priceindustries.com</v>
      </c>
      <c r="M10" t="str">
        <f t="shared" si="2"/>
        <v>amalh@priceindustries.com</v>
      </c>
    </row>
    <row r="11" spans="1:15" x14ac:dyDescent="0.3">
      <c r="A11" t="s">
        <v>17</v>
      </c>
      <c r="B11" t="s">
        <v>41</v>
      </c>
      <c r="C11" t="s">
        <v>42</v>
      </c>
      <c r="D11" t="str">
        <f t="shared" si="3"/>
        <v>Alex</v>
      </c>
      <c r="E11" t="str">
        <f t="shared" si="4"/>
        <v>Putman</v>
      </c>
      <c r="F11" t="str">
        <f>IF($D11&lt;&gt;"",_xlfn.CONCAT(A11,"@",$O$2),"")</f>
        <v>Alex@priceindustries.com</v>
      </c>
      <c r="G11" t="str">
        <f>IF($D11&lt;&gt;"",LOWER(CONCATENATE(LEFT($D11,1),G$1,$E11,"@",$O$2)),"")</f>
        <v>a.putman@priceindustries.com</v>
      </c>
      <c r="H11" t="str">
        <f>IF($D11&lt;&gt;"",LOWER((CONCATENATE($D11,H$1,$E11,"@",$O$2))),"")</f>
        <v>alex.putman@priceindustries.com</v>
      </c>
      <c r="I11" t="str">
        <f>IF($D11&lt;&gt;"",LOWER(CONCATENATE(LEFT($D11,1),I$1,$E11,"@",$O$2)),"")</f>
        <v>aputman@priceindustries.com</v>
      </c>
      <c r="J11" t="str">
        <f>IF($D11&lt;&gt;"",LOWER(CONCATENATE(LEFT($D11,1),J$1,$E11,"@",$O$2)),"")</f>
        <v>a_putman@priceindustries.com</v>
      </c>
      <c r="K11" t="str">
        <f>IF($D11&lt;&gt;"",LOWER(CONCATENATE($D11,K$1,$E11,"@",$O$2)),"")</f>
        <v>alex_putman@priceindustries.com</v>
      </c>
      <c r="L11" t="str">
        <f>IF($D11&lt;&gt;"",LOWER(CONCATENATE($D11,L$1,$E11,"@",$O$2)),"")</f>
        <v>alexputman@priceindustries.com</v>
      </c>
      <c r="M11" t="str">
        <f t="shared" si="2"/>
        <v>alexp@priceindustries.com</v>
      </c>
    </row>
    <row r="12" spans="1:15" x14ac:dyDescent="0.3">
      <c r="A12" t="s">
        <v>43</v>
      </c>
      <c r="B12" t="s">
        <v>44</v>
      </c>
      <c r="C12" t="s">
        <v>45</v>
      </c>
      <c r="D12" t="str">
        <f t="shared" si="3"/>
        <v>Marleni</v>
      </c>
      <c r="E12" t="str">
        <f t="shared" si="4"/>
        <v>Rosario</v>
      </c>
      <c r="F12" t="str">
        <f>IF($D12&lt;&gt;"",_xlfn.CONCAT(A12,"@",$O$2),"")</f>
        <v>Marleni@priceindustries.com</v>
      </c>
      <c r="G12" t="str">
        <f>IF($D12&lt;&gt;"",LOWER(CONCATENATE(LEFT($D12,1),G$1,$E12,"@",$O$2)),"")</f>
        <v>m.rosario@priceindustries.com</v>
      </c>
      <c r="H12" t="str">
        <f>IF($D12&lt;&gt;"",LOWER((CONCATENATE($D12,H$1,$E12,"@",$O$2))),"")</f>
        <v>marleni.rosario@priceindustries.com</v>
      </c>
      <c r="I12" t="str">
        <f>IF($D12&lt;&gt;"",LOWER(CONCATENATE(LEFT($D12,1),I$1,$E12,"@",$O$2)),"")</f>
        <v>mrosario@priceindustries.com</v>
      </c>
      <c r="J12" t="str">
        <f>IF($D12&lt;&gt;"",LOWER(CONCATENATE(LEFT($D12,1),J$1,$E12,"@",$O$2)),"")</f>
        <v>m_rosario@priceindustries.com</v>
      </c>
      <c r="K12" t="str">
        <f>IF($D12&lt;&gt;"",LOWER(CONCATENATE($D12,K$1,$E12,"@",$O$2)),"")</f>
        <v>marleni_rosario@priceindustries.com</v>
      </c>
      <c r="L12" t="str">
        <f>IF($D12&lt;&gt;"",LOWER(CONCATENATE($D12,L$1,$E12,"@",$O$2)),"")</f>
        <v>marlenirosario@priceindustries.com</v>
      </c>
      <c r="M12" t="str">
        <f t="shared" si="2"/>
        <v>marlenir@priceindustries.com</v>
      </c>
    </row>
    <row r="13" spans="1:15" x14ac:dyDescent="0.3">
      <c r="A13" t="s">
        <v>46</v>
      </c>
      <c r="B13" t="s">
        <v>47</v>
      </c>
      <c r="C13" t="s">
        <v>15</v>
      </c>
      <c r="D13" t="str">
        <f t="shared" si="3"/>
        <v>Haley</v>
      </c>
      <c r="E13" t="str">
        <f t="shared" si="4"/>
        <v>Walls</v>
      </c>
      <c r="F13" t="str">
        <f>IF($D13&lt;&gt;"",_xlfn.CONCAT(A13,"@",$O$2),"")</f>
        <v>Haley@priceindustries.com</v>
      </c>
      <c r="G13" t="str">
        <f>IF($D13&lt;&gt;"",LOWER(CONCATENATE(LEFT($D13,1),G$1,$E13,"@",$O$2)),"")</f>
        <v>h.walls@priceindustries.com</v>
      </c>
      <c r="H13" t="str">
        <f>IF($D13&lt;&gt;"",LOWER((CONCATENATE($D13,H$1,$E13,"@",$O$2))),"")</f>
        <v>haley.walls@priceindustries.com</v>
      </c>
      <c r="I13" t="str">
        <f>IF($D13&lt;&gt;"",LOWER(CONCATENATE(LEFT($D13,1),I$1,$E13,"@",$O$2)),"")</f>
        <v>hwalls@priceindustries.com</v>
      </c>
      <c r="J13" t="str">
        <f>IF($D13&lt;&gt;"",LOWER(CONCATENATE(LEFT($D13,1),J$1,$E13,"@",$O$2)),"")</f>
        <v>h_walls@priceindustries.com</v>
      </c>
      <c r="K13" t="str">
        <f>IF($D13&lt;&gt;"",LOWER(CONCATENATE($D13,K$1,$E13,"@",$O$2)),"")</f>
        <v>haley_walls@priceindustries.com</v>
      </c>
      <c r="L13" t="str">
        <f>IF($D13&lt;&gt;"",LOWER(CONCATENATE($D13,L$1,$E13,"@",$O$2)),"")</f>
        <v>haleywalls@priceindustries.com</v>
      </c>
      <c r="M13" t="str">
        <f t="shared" si="2"/>
        <v>haleyw@priceindustries.com</v>
      </c>
    </row>
    <row r="14" spans="1:15" x14ac:dyDescent="0.3">
      <c r="A14" t="s">
        <v>48</v>
      </c>
      <c r="B14" t="s">
        <v>49</v>
      </c>
      <c r="C14" t="s">
        <v>50</v>
      </c>
      <c r="D14" t="str">
        <f t="shared" si="3"/>
        <v>Lidya</v>
      </c>
      <c r="E14" t="str">
        <f t="shared" si="4"/>
        <v>Gonzalez</v>
      </c>
      <c r="F14" t="str">
        <f>IF($D14&lt;&gt;"",_xlfn.CONCAT(A14,"@",$O$2),"")</f>
        <v>Lidya@priceindustries.com</v>
      </c>
      <c r="G14" t="str">
        <f>IF($D14&lt;&gt;"",LOWER(CONCATENATE(LEFT($D14,1),G$1,$E14,"@",$O$2)),"")</f>
        <v>l.gonzalez@priceindustries.com</v>
      </c>
      <c r="H14" t="str">
        <f>IF($D14&lt;&gt;"",LOWER((CONCATENATE($D14,H$1,$E14,"@",$O$2))),"")</f>
        <v>lidya.gonzalez@priceindustries.com</v>
      </c>
      <c r="I14" t="str">
        <f>IF($D14&lt;&gt;"",LOWER(CONCATENATE(LEFT($D14,1),I$1,$E14,"@",$O$2)),"")</f>
        <v>lgonzalez@priceindustries.com</v>
      </c>
      <c r="J14" t="str">
        <f>IF($D14&lt;&gt;"",LOWER(CONCATENATE(LEFT($D14,1),J$1,$E14,"@",$O$2)),"")</f>
        <v>l_gonzalez@priceindustries.com</v>
      </c>
      <c r="K14" t="str">
        <f>IF($D14&lt;&gt;"",LOWER(CONCATENATE($D14,K$1,$E14,"@",$O$2)),"")</f>
        <v>lidya_gonzalez@priceindustries.com</v>
      </c>
      <c r="L14" t="str">
        <f>IF($D14&lt;&gt;"",LOWER(CONCATENATE($D14,L$1,$E14,"@",$O$2)),"")</f>
        <v>lidyagonzalez@priceindustries.com</v>
      </c>
      <c r="M14" t="str">
        <f t="shared" si="2"/>
        <v>lidyag@priceindustries.com</v>
      </c>
    </row>
    <row r="15" spans="1:15" x14ac:dyDescent="0.3">
      <c r="A15" t="s">
        <v>51</v>
      </c>
      <c r="B15" t="s">
        <v>52</v>
      </c>
      <c r="C15" t="s">
        <v>53</v>
      </c>
      <c r="D15" t="str">
        <f t="shared" si="3"/>
        <v>Mike</v>
      </c>
      <c r="E15" t="str">
        <f t="shared" si="4"/>
        <v>McDaniel</v>
      </c>
      <c r="F15" t="str">
        <f>IF($D15&lt;&gt;"",_xlfn.CONCAT(A15,"@",$O$2),"")</f>
        <v>Mike@priceindustries.com</v>
      </c>
      <c r="G15" t="str">
        <f>IF($D15&lt;&gt;"",LOWER(CONCATENATE(LEFT($D15,1),G$1,$E15,"@",$O$2)),"")</f>
        <v>m.mcdaniel@priceindustries.com</v>
      </c>
      <c r="H15" t="str">
        <f>IF($D15&lt;&gt;"",LOWER((CONCATENATE($D15,H$1,$E15,"@",$O$2))),"")</f>
        <v>mike.mcdaniel@priceindustries.com</v>
      </c>
      <c r="I15" t="str">
        <f>IF($D15&lt;&gt;"",LOWER(CONCATENATE(LEFT($D15,1),I$1,$E15,"@",$O$2)),"")</f>
        <v>mmcdaniel@priceindustries.com</v>
      </c>
      <c r="J15" t="str">
        <f>IF($D15&lt;&gt;"",LOWER(CONCATENATE(LEFT($D15,1),J$1,$E15,"@",$O$2)),"")</f>
        <v>m_mcdaniel@priceindustries.com</v>
      </c>
      <c r="K15" t="str">
        <f>IF($D15&lt;&gt;"",LOWER(CONCATENATE($D15,K$1,$E15,"@",$O$2)),"")</f>
        <v>mike_mcdaniel@priceindustries.com</v>
      </c>
      <c r="L15" t="str">
        <f>IF($D15&lt;&gt;"",LOWER(CONCATENATE($D15,L$1,$E15,"@",$O$2)),"")</f>
        <v>mikemcdaniel@priceindustries.com</v>
      </c>
      <c r="M15" t="str">
        <f t="shared" si="2"/>
        <v>mikem@priceindustries.com</v>
      </c>
    </row>
    <row r="16" spans="1:15" x14ac:dyDescent="0.3">
      <c r="D16" t="str">
        <f t="shared" si="3"/>
        <v/>
      </c>
      <c r="E16" t="str">
        <f t="shared" si="4"/>
        <v/>
      </c>
      <c r="F16" t="str">
        <f>IF($D16&lt;&gt;"",_xlfn.CONCAT(A16,"@",$O$2),"")</f>
        <v/>
      </c>
      <c r="G16" t="str">
        <f>IF($D16&lt;&gt;"",LOWER(CONCATENATE(LEFT($D16,1),G$1,$E16,"@",$O$2)),"")</f>
        <v/>
      </c>
      <c r="H16" t="str">
        <f>IF($D16&lt;&gt;"",LOWER((CONCATENATE($D16,H$1,$E16,"@",$O$2))),"")</f>
        <v/>
      </c>
      <c r="I16" t="str">
        <f>IF($D16&lt;&gt;"",LOWER(CONCATENATE(LEFT($D16,1),I$1,$E16,"@",$O$2)),"")</f>
        <v/>
      </c>
      <c r="J16" t="str">
        <f>IF($D16&lt;&gt;"",LOWER(CONCATENATE(LEFT($D16,1),J$1,$E16,"@",$O$2)),"")</f>
        <v/>
      </c>
      <c r="K16" t="str">
        <f>IF($D16&lt;&gt;"",LOWER(CONCATENATE($D16,K$1,$E16,"@",$O$2)),"")</f>
        <v/>
      </c>
      <c r="L16" t="str">
        <f>IF($D16&lt;&gt;"",LOWER(CONCATENATE($D16,L$1,$E16,"@",$O$2)),"")</f>
        <v/>
      </c>
      <c r="M16" t="str">
        <f t="shared" si="2"/>
        <v/>
      </c>
    </row>
    <row r="17" spans="4:13" x14ac:dyDescent="0.3">
      <c r="D17" t="str">
        <f t="shared" ref="D17:D61" si="5">IF(A17&lt;&gt;"",TRIM(A17),"")</f>
        <v/>
      </c>
      <c r="E17" t="str">
        <f t="shared" ref="E17:E61" si="6">IF(B17&lt;&gt;"",TRIM(B17),"")</f>
        <v/>
      </c>
      <c r="F17" t="str">
        <f>IF($D17&lt;&gt;"",_xlfn.CONCAT(A17,"@",$O$2),"")</f>
        <v/>
      </c>
      <c r="G17" t="str">
        <f>IF($D17&lt;&gt;"",LOWER(CONCATENATE(LEFT($D17,1),G$1,$E17,"@",$O$2)),"")</f>
        <v/>
      </c>
      <c r="H17" t="str">
        <f>IF($D17&lt;&gt;"",LOWER((CONCATENATE($D17,H$1,$E17,"@",$O$2))),"")</f>
        <v/>
      </c>
      <c r="I17" t="str">
        <f>IF($D17&lt;&gt;"",LOWER(CONCATENATE(LEFT($D17,1),I$1,$E17,"@",$O$2)),"")</f>
        <v/>
      </c>
      <c r="J17" t="str">
        <f>IF($D17&lt;&gt;"",LOWER(CONCATENATE(LEFT($D17,1),J$1,$E17,"@",$O$2)),"")</f>
        <v/>
      </c>
      <c r="K17" t="str">
        <f>IF($D17&lt;&gt;"",LOWER(CONCATENATE($D17,K$1,$E17,"@",$O$2)),"")</f>
        <v/>
      </c>
      <c r="L17" t="str">
        <f>IF($D17&lt;&gt;"",LOWER(CONCATENATE($D17,L$1,$E17,"@",$O$2)),"")</f>
        <v/>
      </c>
      <c r="M17" t="str">
        <f t="shared" si="2"/>
        <v/>
      </c>
    </row>
    <row r="18" spans="4:13" x14ac:dyDescent="0.3">
      <c r="D18" t="str">
        <f t="shared" si="5"/>
        <v/>
      </c>
      <c r="E18" t="str">
        <f t="shared" si="6"/>
        <v/>
      </c>
      <c r="F18" t="str">
        <f>IF($D18&lt;&gt;"",_xlfn.CONCAT(A18,"@",$O$2),"")</f>
        <v/>
      </c>
      <c r="G18" t="str">
        <f>IF($D18&lt;&gt;"",LOWER(CONCATENATE(LEFT($D18,1),G$1,$E18,"@",$O$2)),"")</f>
        <v/>
      </c>
      <c r="H18" t="str">
        <f>IF($D18&lt;&gt;"",LOWER((CONCATENATE($D18,H$1,$E18,"@",$O$2))),"")</f>
        <v/>
      </c>
      <c r="I18" t="str">
        <f>IF($D18&lt;&gt;"",LOWER(CONCATENATE(LEFT($D18,1),I$1,$E18,"@",$O$2)),"")</f>
        <v/>
      </c>
      <c r="J18" t="str">
        <f>IF($D18&lt;&gt;"",LOWER(CONCATENATE(LEFT($D18,1),J$1,$E18,"@",$O$2)),"")</f>
        <v/>
      </c>
      <c r="K18" t="str">
        <f>IF($D18&lt;&gt;"",LOWER(CONCATENATE($D18,K$1,$E18,"@",$O$2)),"")</f>
        <v/>
      </c>
      <c r="L18" t="str">
        <f>IF($D18&lt;&gt;"",LOWER(CONCATENATE($D18,L$1,$E18,"@",$O$2)),"")</f>
        <v/>
      </c>
      <c r="M18" t="str">
        <f t="shared" si="2"/>
        <v/>
      </c>
    </row>
    <row r="19" spans="4:13" x14ac:dyDescent="0.3">
      <c r="D19" t="str">
        <f t="shared" si="5"/>
        <v/>
      </c>
      <c r="E19" t="str">
        <f t="shared" si="6"/>
        <v/>
      </c>
      <c r="F19" t="str">
        <f>IF($D19&lt;&gt;"",_xlfn.CONCAT(A19,"@",$O$2),"")</f>
        <v/>
      </c>
      <c r="G19" t="str">
        <f>IF($D19&lt;&gt;"",LOWER(CONCATENATE(LEFT($D19,1),G$1,$E19,"@",$O$2)),"")</f>
        <v/>
      </c>
      <c r="H19" t="str">
        <f>IF($D19&lt;&gt;"",LOWER((CONCATENATE($D19,H$1,$E19,"@",$O$2))),"")</f>
        <v/>
      </c>
      <c r="I19" t="str">
        <f>IF($D19&lt;&gt;"",LOWER(CONCATENATE(LEFT($D19,1),I$1,$E19,"@",$O$2)),"")</f>
        <v/>
      </c>
      <c r="J19" t="str">
        <f>IF($D19&lt;&gt;"",LOWER(CONCATENATE(LEFT($D19,1),J$1,$E19,"@",$O$2)),"")</f>
        <v/>
      </c>
      <c r="K19" t="str">
        <f>IF($D19&lt;&gt;"",LOWER(CONCATENATE($D19,K$1,$E19,"@",$O$2)),"")</f>
        <v/>
      </c>
      <c r="L19" t="str">
        <f>IF($D19&lt;&gt;"",LOWER(CONCATENATE($D19,L$1,$E19,"@",$O$2)),"")</f>
        <v/>
      </c>
      <c r="M19" t="str">
        <f t="shared" si="2"/>
        <v/>
      </c>
    </row>
    <row r="20" spans="4:13" x14ac:dyDescent="0.3">
      <c r="D20" t="str">
        <f t="shared" si="5"/>
        <v/>
      </c>
      <c r="E20" t="str">
        <f t="shared" si="6"/>
        <v/>
      </c>
      <c r="F20" t="str">
        <f>IF($D20&lt;&gt;"",_xlfn.CONCAT(A20,"@",$O$2),"")</f>
        <v/>
      </c>
      <c r="G20" t="str">
        <f>IF($D20&lt;&gt;"",LOWER(CONCATENATE(LEFT($D20,1),G$1,$E20,"@",$O$2)),"")</f>
        <v/>
      </c>
      <c r="H20" t="str">
        <f>IF($D20&lt;&gt;"",LOWER((CONCATENATE($D20,H$1,$E20,"@",$O$2))),"")</f>
        <v/>
      </c>
      <c r="I20" t="str">
        <f>IF($D20&lt;&gt;"",LOWER(CONCATENATE(LEFT($D20,1),I$1,$E20,"@",$O$2)),"")</f>
        <v/>
      </c>
      <c r="J20" t="str">
        <f>IF($D20&lt;&gt;"",LOWER(CONCATENATE(LEFT($D20,1),J$1,$E20,"@",$O$2)),"")</f>
        <v/>
      </c>
      <c r="K20" t="str">
        <f>IF($D20&lt;&gt;"",LOWER(CONCATENATE($D20,K$1,$E20,"@",$O$2)),"")</f>
        <v/>
      </c>
      <c r="L20" t="str">
        <f>IF($D20&lt;&gt;"",LOWER(CONCATENATE($D20,L$1,$E20,"@",$O$2)),"")</f>
        <v/>
      </c>
      <c r="M20" t="str">
        <f t="shared" si="2"/>
        <v/>
      </c>
    </row>
    <row r="21" spans="4:13" x14ac:dyDescent="0.3">
      <c r="D21" t="str">
        <f t="shared" si="5"/>
        <v/>
      </c>
      <c r="E21" t="str">
        <f t="shared" si="6"/>
        <v/>
      </c>
      <c r="F21" t="str">
        <f>IF($D21&lt;&gt;"",_xlfn.CONCAT(A21,"@",$O$2),"")</f>
        <v/>
      </c>
      <c r="G21" t="str">
        <f>IF($D21&lt;&gt;"",LOWER(CONCATENATE(LEFT($D21,1),G$1,$E21,"@",$O$2)),"")</f>
        <v/>
      </c>
      <c r="H21" t="str">
        <f>IF($D21&lt;&gt;"",LOWER((CONCATENATE($D21,H$1,$E21,"@",$O$2))),"")</f>
        <v/>
      </c>
      <c r="I21" t="str">
        <f>IF($D21&lt;&gt;"",LOWER(CONCATENATE(LEFT($D21,1),I$1,$E21,"@",$O$2)),"")</f>
        <v/>
      </c>
      <c r="J21" t="str">
        <f>IF($D21&lt;&gt;"",LOWER(CONCATENATE(LEFT($D21,1),J$1,$E21,"@",$O$2)),"")</f>
        <v/>
      </c>
      <c r="K21" t="str">
        <f>IF($D21&lt;&gt;"",LOWER(CONCATENATE($D21,K$1,$E21,"@",$O$2)),"")</f>
        <v/>
      </c>
      <c r="L21" t="str">
        <f>IF($D21&lt;&gt;"",LOWER(CONCATENATE($D21,L$1,$E21,"@",$O$2)),"")</f>
        <v/>
      </c>
      <c r="M21" t="str">
        <f t="shared" si="2"/>
        <v/>
      </c>
    </row>
    <row r="22" spans="4:13" x14ac:dyDescent="0.3">
      <c r="D22" t="str">
        <f t="shared" si="5"/>
        <v/>
      </c>
      <c r="E22" t="str">
        <f t="shared" si="6"/>
        <v/>
      </c>
      <c r="F22" t="str">
        <f>IF($D22&lt;&gt;"",_xlfn.CONCAT(A22,"@",$O$2),"")</f>
        <v/>
      </c>
      <c r="G22" t="str">
        <f>IF($D22&lt;&gt;"",LOWER(CONCATENATE(LEFT($D22,1),G$1,$E22,"@",$O$2)),"")</f>
        <v/>
      </c>
      <c r="H22" t="str">
        <f>IF($D22&lt;&gt;"",LOWER((CONCATENATE($D22,H$1,$E22,"@",$O$2))),"")</f>
        <v/>
      </c>
      <c r="I22" t="str">
        <f>IF($D22&lt;&gt;"",LOWER(CONCATENATE(LEFT($D22,1),I$1,$E22,"@",$O$2)),"")</f>
        <v/>
      </c>
      <c r="J22" t="str">
        <f>IF($D22&lt;&gt;"",LOWER(CONCATENATE(LEFT($D22,1),J$1,$E22,"@",$O$2)),"")</f>
        <v/>
      </c>
      <c r="K22" t="str">
        <f>IF($D22&lt;&gt;"",LOWER(CONCATENATE($D22,K$1,$E22,"@",$O$2)),"")</f>
        <v/>
      </c>
      <c r="L22" t="str">
        <f>IF($D22&lt;&gt;"",LOWER(CONCATENATE($D22,L$1,$E22,"@",$O$2)),"")</f>
        <v/>
      </c>
      <c r="M22" t="str">
        <f t="shared" si="2"/>
        <v/>
      </c>
    </row>
    <row r="23" spans="4:13" x14ac:dyDescent="0.3">
      <c r="D23" t="str">
        <f t="shared" si="5"/>
        <v/>
      </c>
      <c r="E23" t="str">
        <f t="shared" si="6"/>
        <v/>
      </c>
      <c r="F23" t="str">
        <f>IF($D23&lt;&gt;"",_xlfn.CONCAT(A23,"@",$O$2),"")</f>
        <v/>
      </c>
      <c r="G23" t="str">
        <f>IF($D23&lt;&gt;"",LOWER(CONCATENATE(LEFT($D23,1),G$1,$E23,"@",$O$2)),"")</f>
        <v/>
      </c>
      <c r="H23" t="str">
        <f>IF($D23&lt;&gt;"",LOWER((CONCATENATE($D23,H$1,$E23,"@",$O$2))),"")</f>
        <v/>
      </c>
      <c r="I23" t="str">
        <f>IF($D23&lt;&gt;"",LOWER(CONCATENATE(LEFT($D23,1),I$1,$E23,"@",$O$2)),"")</f>
        <v/>
      </c>
      <c r="J23" t="str">
        <f>IF($D23&lt;&gt;"",LOWER(CONCATENATE(LEFT($D23,1),J$1,$E23,"@",$O$2)),"")</f>
        <v/>
      </c>
      <c r="K23" t="str">
        <f>IF($D23&lt;&gt;"",LOWER(CONCATENATE($D23,K$1,$E23,"@",$O$2)),"")</f>
        <v/>
      </c>
      <c r="L23" t="str">
        <f>IF($D23&lt;&gt;"",LOWER(CONCATENATE($D23,L$1,$E23,"@",$O$2)),"")</f>
        <v/>
      </c>
      <c r="M23" t="str">
        <f t="shared" si="2"/>
        <v/>
      </c>
    </row>
    <row r="24" spans="4:13" x14ac:dyDescent="0.3">
      <c r="D24" t="str">
        <f t="shared" si="5"/>
        <v/>
      </c>
      <c r="E24" t="str">
        <f t="shared" si="6"/>
        <v/>
      </c>
      <c r="F24" t="str">
        <f>IF($D24&lt;&gt;"",_xlfn.CONCAT(A24,"@",$O$2),"")</f>
        <v/>
      </c>
      <c r="G24" t="str">
        <f>IF($D24&lt;&gt;"",LOWER(CONCATENATE(LEFT($D24,1),G$1,$E24,"@",$O$2)),"")</f>
        <v/>
      </c>
      <c r="H24" t="str">
        <f>IF($D24&lt;&gt;"",LOWER((CONCATENATE($D24,H$1,$E24,"@",$O$2))),"")</f>
        <v/>
      </c>
      <c r="I24" t="str">
        <f>IF($D24&lt;&gt;"",LOWER(CONCATENATE(LEFT($D24,1),I$1,$E24,"@",$O$2)),"")</f>
        <v/>
      </c>
      <c r="J24" t="str">
        <f>IF($D24&lt;&gt;"",LOWER(CONCATENATE(LEFT($D24,1),J$1,$E24,"@",$O$2)),"")</f>
        <v/>
      </c>
      <c r="K24" t="str">
        <f>IF($D24&lt;&gt;"",LOWER(CONCATENATE($D24,K$1,$E24,"@",$O$2)),"")</f>
        <v/>
      </c>
      <c r="L24" t="str">
        <f>IF($D24&lt;&gt;"",LOWER(CONCATENATE($D24,L$1,$E24,"@",$O$2)),"")</f>
        <v/>
      </c>
      <c r="M24" t="str">
        <f t="shared" si="2"/>
        <v/>
      </c>
    </row>
    <row r="25" spans="4:13" x14ac:dyDescent="0.3">
      <c r="D25" t="str">
        <f t="shared" si="5"/>
        <v/>
      </c>
      <c r="E25" t="str">
        <f t="shared" si="6"/>
        <v/>
      </c>
      <c r="F25" t="str">
        <f>IF($D25&lt;&gt;"",_xlfn.CONCAT(A25,"@",$O$2),"")</f>
        <v/>
      </c>
      <c r="G25" t="str">
        <f>IF($D25&lt;&gt;"",LOWER(CONCATENATE(LEFT($D25,1),G$1,$E25,"@",$O$2)),"")</f>
        <v/>
      </c>
      <c r="H25" t="str">
        <f>IF($D25&lt;&gt;"",LOWER((CONCATENATE($D25,H$1,$E25,"@",$O$2))),"")</f>
        <v/>
      </c>
      <c r="I25" t="str">
        <f>IF($D25&lt;&gt;"",LOWER(CONCATENATE(LEFT($D25,1),I$1,$E25,"@",$O$2)),"")</f>
        <v/>
      </c>
      <c r="J25" t="str">
        <f>IF($D25&lt;&gt;"",LOWER(CONCATENATE(LEFT($D25,1),J$1,$E25,"@",$O$2)),"")</f>
        <v/>
      </c>
      <c r="K25" t="str">
        <f>IF($D25&lt;&gt;"",LOWER(CONCATENATE($D25,K$1,$E25,"@",$O$2)),"")</f>
        <v/>
      </c>
      <c r="L25" t="str">
        <f>IF($D25&lt;&gt;"",LOWER(CONCATENATE($D25,L$1,$E25,"@",$O$2)),"")</f>
        <v/>
      </c>
      <c r="M25" t="str">
        <f t="shared" si="2"/>
        <v/>
      </c>
    </row>
    <row r="26" spans="4:13" x14ac:dyDescent="0.3">
      <c r="D26" t="str">
        <f t="shared" si="5"/>
        <v/>
      </c>
      <c r="E26" t="str">
        <f t="shared" si="6"/>
        <v/>
      </c>
      <c r="F26" t="str">
        <f>IF($D26&lt;&gt;"",_xlfn.CONCAT(A26,"@",$O$2),"")</f>
        <v/>
      </c>
      <c r="G26" t="str">
        <f>IF($D26&lt;&gt;"",LOWER(CONCATENATE(LEFT($D26,1),G$1,$E26,"@",$O$2)),"")</f>
        <v/>
      </c>
      <c r="H26" t="str">
        <f>IF($D26&lt;&gt;"",LOWER((CONCATENATE($D26,H$1,$E26,"@",$O$2))),"")</f>
        <v/>
      </c>
      <c r="I26" t="str">
        <f>IF($D26&lt;&gt;"",LOWER(CONCATENATE(LEFT($D26,1),I$1,$E26,"@",$O$2)),"")</f>
        <v/>
      </c>
      <c r="J26" t="str">
        <f>IF($D26&lt;&gt;"",LOWER(CONCATENATE(LEFT($D26,1),J$1,$E26,"@",$O$2)),"")</f>
        <v/>
      </c>
      <c r="K26" t="str">
        <f>IF($D26&lt;&gt;"",LOWER(CONCATENATE($D26,K$1,$E26,"@",$O$2)),"")</f>
        <v/>
      </c>
      <c r="L26" t="str">
        <f>IF($D26&lt;&gt;"",LOWER(CONCATENATE($D26,L$1,$E26,"@",$O$2)),"")</f>
        <v/>
      </c>
      <c r="M26" t="str">
        <f t="shared" si="2"/>
        <v/>
      </c>
    </row>
    <row r="27" spans="4:13" x14ac:dyDescent="0.3">
      <c r="D27" t="str">
        <f t="shared" si="5"/>
        <v/>
      </c>
      <c r="E27" t="str">
        <f t="shared" si="6"/>
        <v/>
      </c>
      <c r="F27" t="str">
        <f>IF($D27&lt;&gt;"",_xlfn.CONCAT(A27,"@",$O$2),"")</f>
        <v/>
      </c>
      <c r="G27" t="str">
        <f>IF($D27&lt;&gt;"",LOWER(CONCATENATE(LEFT($D27,1),G$1,$E27,"@",$O$2)),"")</f>
        <v/>
      </c>
      <c r="H27" t="str">
        <f>IF($D27&lt;&gt;"",LOWER((CONCATENATE($D27,H$1,$E27,"@",$O$2))),"")</f>
        <v/>
      </c>
      <c r="I27" t="str">
        <f>IF($D27&lt;&gt;"",LOWER(CONCATENATE(LEFT($D27,1),I$1,$E27,"@",$O$2)),"")</f>
        <v/>
      </c>
      <c r="J27" t="str">
        <f>IF($D27&lt;&gt;"",LOWER(CONCATENATE(LEFT($D27,1),J$1,$E27,"@",$O$2)),"")</f>
        <v/>
      </c>
      <c r="K27" t="str">
        <f>IF($D27&lt;&gt;"",LOWER(CONCATENATE($D27,K$1,$E27,"@",$O$2)),"")</f>
        <v/>
      </c>
      <c r="L27" t="str">
        <f>IF($D27&lt;&gt;"",LOWER(CONCATENATE($D27,L$1,$E27,"@",$O$2)),"")</f>
        <v/>
      </c>
      <c r="M27" t="str">
        <f t="shared" si="2"/>
        <v/>
      </c>
    </row>
    <row r="28" spans="4:13" x14ac:dyDescent="0.3">
      <c r="D28" t="str">
        <f t="shared" si="5"/>
        <v/>
      </c>
      <c r="E28" t="str">
        <f t="shared" si="6"/>
        <v/>
      </c>
      <c r="F28" t="str">
        <f>IF($D28&lt;&gt;"",_xlfn.CONCAT(A28,"@",$O$2),"")</f>
        <v/>
      </c>
      <c r="G28" t="str">
        <f>IF($D28&lt;&gt;"",LOWER(CONCATENATE(LEFT($D28,1),G$1,$E28,"@",$O$2)),"")</f>
        <v/>
      </c>
      <c r="H28" t="str">
        <f>IF($D28&lt;&gt;"",LOWER((CONCATENATE($D28,H$1,$E28,"@",$O$2))),"")</f>
        <v/>
      </c>
      <c r="I28" t="str">
        <f>IF($D28&lt;&gt;"",LOWER(CONCATENATE(LEFT($D28,1),I$1,$E28,"@",$O$2)),"")</f>
        <v/>
      </c>
      <c r="J28" t="str">
        <f>IF($D28&lt;&gt;"",LOWER(CONCATENATE(LEFT($D28,1),J$1,$E28,"@",$O$2)),"")</f>
        <v/>
      </c>
      <c r="K28" t="str">
        <f>IF($D28&lt;&gt;"",LOWER(CONCATENATE($D28,K$1,$E28,"@",$O$2)),"")</f>
        <v/>
      </c>
      <c r="L28" t="str">
        <f>IF($D28&lt;&gt;"",LOWER(CONCATENATE($D28,L$1,$E28,"@",$O$2)),"")</f>
        <v/>
      </c>
      <c r="M28" t="str">
        <f t="shared" si="2"/>
        <v/>
      </c>
    </row>
    <row r="29" spans="4:13" x14ac:dyDescent="0.3">
      <c r="D29" t="str">
        <f t="shared" si="5"/>
        <v/>
      </c>
      <c r="E29" t="str">
        <f t="shared" si="6"/>
        <v/>
      </c>
      <c r="F29" t="str">
        <f>IF($D29&lt;&gt;"",_xlfn.CONCAT(A29,"@",$O$2),"")</f>
        <v/>
      </c>
      <c r="G29" t="str">
        <f>IF($D29&lt;&gt;"",LOWER(CONCATENATE(LEFT($D29,1),G$1,$E29,"@",$O$2)),"")</f>
        <v/>
      </c>
      <c r="H29" t="str">
        <f>IF($D29&lt;&gt;"",LOWER((CONCATENATE($D29,H$1,$E29,"@",$O$2))),"")</f>
        <v/>
      </c>
      <c r="I29" t="str">
        <f>IF($D29&lt;&gt;"",LOWER(CONCATENATE(LEFT($D29,1),I$1,$E29,"@",$O$2)),"")</f>
        <v/>
      </c>
      <c r="J29" t="str">
        <f>IF($D29&lt;&gt;"",LOWER(CONCATENATE(LEFT($D29,1),J$1,$E29,"@",$O$2)),"")</f>
        <v/>
      </c>
      <c r="K29" t="str">
        <f>IF($D29&lt;&gt;"",LOWER(CONCATENATE($D29,K$1,$E29,"@",$O$2)),"")</f>
        <v/>
      </c>
      <c r="L29" t="str">
        <f>IF($D29&lt;&gt;"",LOWER(CONCATENATE($D29,L$1,$E29,"@",$O$2)),"")</f>
        <v/>
      </c>
      <c r="M29" t="str">
        <f t="shared" si="2"/>
        <v/>
      </c>
    </row>
    <row r="30" spans="4:13" x14ac:dyDescent="0.3">
      <c r="D30" t="str">
        <f t="shared" si="5"/>
        <v/>
      </c>
      <c r="E30" t="str">
        <f t="shared" si="6"/>
        <v/>
      </c>
      <c r="F30" t="str">
        <f>IF($D30&lt;&gt;"",_xlfn.CONCAT(A30,"@",$O$2),"")</f>
        <v/>
      </c>
      <c r="G30" t="str">
        <f>IF($D30&lt;&gt;"",LOWER(CONCATENATE(LEFT($D30,1),G$1,$E30,"@",$O$2)),"")</f>
        <v/>
      </c>
      <c r="H30" t="str">
        <f>IF($D30&lt;&gt;"",LOWER((CONCATENATE($D30,H$1,$E30,"@",$O$2))),"")</f>
        <v/>
      </c>
      <c r="I30" t="str">
        <f>IF($D30&lt;&gt;"",LOWER(CONCATENATE(LEFT($D30,1),I$1,$E30,"@",$O$2)),"")</f>
        <v/>
      </c>
      <c r="J30" t="str">
        <f>IF($D30&lt;&gt;"",LOWER(CONCATENATE(LEFT($D30,1),J$1,$E30,"@",$O$2)),"")</f>
        <v/>
      </c>
      <c r="K30" t="str">
        <f>IF($D30&lt;&gt;"",LOWER(CONCATENATE($D30,K$1,$E30,"@",$O$2)),"")</f>
        <v/>
      </c>
      <c r="L30" t="str">
        <f>IF($D30&lt;&gt;"",LOWER(CONCATENATE($D30,L$1,$E30,"@",$O$2)),"")</f>
        <v/>
      </c>
      <c r="M30" t="str">
        <f t="shared" si="2"/>
        <v/>
      </c>
    </row>
    <row r="31" spans="4:13" x14ac:dyDescent="0.3">
      <c r="D31" t="str">
        <f t="shared" si="5"/>
        <v/>
      </c>
      <c r="E31" t="str">
        <f t="shared" si="6"/>
        <v/>
      </c>
      <c r="F31" t="str">
        <f>IF($D31&lt;&gt;"",_xlfn.CONCAT(A31,"@",$O$2),"")</f>
        <v/>
      </c>
      <c r="G31" t="str">
        <f>IF($D31&lt;&gt;"",LOWER(CONCATENATE(LEFT($D31,1),G$1,$E31,"@",$O$2)),"")</f>
        <v/>
      </c>
      <c r="H31" t="str">
        <f>IF($D31&lt;&gt;"",LOWER((CONCATENATE($D31,H$1,$E31,"@",$O$2))),"")</f>
        <v/>
      </c>
      <c r="I31" t="str">
        <f>IF($D31&lt;&gt;"",LOWER(CONCATENATE(LEFT($D31,1),I$1,$E31,"@",$O$2)),"")</f>
        <v/>
      </c>
      <c r="J31" t="str">
        <f>IF($D31&lt;&gt;"",LOWER(CONCATENATE(LEFT($D31,1),J$1,$E31,"@",$O$2)),"")</f>
        <v/>
      </c>
      <c r="K31" t="str">
        <f>IF($D31&lt;&gt;"",LOWER(CONCATENATE($D31,K$1,$E31,"@",$O$2)),"")</f>
        <v/>
      </c>
      <c r="L31" t="str">
        <f>IF($D31&lt;&gt;"",LOWER(CONCATENATE($D31,L$1,$E31,"@",$O$2)),"")</f>
        <v/>
      </c>
      <c r="M31" t="str">
        <f t="shared" si="2"/>
        <v/>
      </c>
    </row>
    <row r="32" spans="4:13" x14ac:dyDescent="0.3">
      <c r="D32" t="str">
        <f t="shared" si="5"/>
        <v/>
      </c>
      <c r="E32" t="str">
        <f t="shared" si="6"/>
        <v/>
      </c>
      <c r="F32" t="str">
        <f>IF($D32&lt;&gt;"",_xlfn.CONCAT(A32,"@",$O$2),"")</f>
        <v/>
      </c>
      <c r="G32" t="str">
        <f>IF($D32&lt;&gt;"",LOWER(CONCATENATE(LEFT($D32,1),G$1,$E32,"@",$O$2)),"")</f>
        <v/>
      </c>
      <c r="H32" t="str">
        <f>IF($D32&lt;&gt;"",LOWER((CONCATENATE($D32,H$1,$E32,"@",$O$2))),"")</f>
        <v/>
      </c>
      <c r="I32" t="str">
        <f>IF($D32&lt;&gt;"",LOWER(CONCATENATE(LEFT($D32,1),I$1,$E32,"@",$O$2)),"")</f>
        <v/>
      </c>
      <c r="J32" t="str">
        <f>IF($D32&lt;&gt;"",LOWER(CONCATENATE(LEFT($D32,1),J$1,$E32,"@",$O$2)),"")</f>
        <v/>
      </c>
      <c r="K32" t="str">
        <f>IF($D32&lt;&gt;"",LOWER(CONCATENATE($D32,K$1,$E32,"@",$O$2)),"")</f>
        <v/>
      </c>
      <c r="L32" t="str">
        <f>IF($D32&lt;&gt;"",LOWER(CONCATENATE($D32,L$1,$E32,"@",$O$2)),"")</f>
        <v/>
      </c>
      <c r="M32" t="str">
        <f t="shared" si="2"/>
        <v/>
      </c>
    </row>
    <row r="33" spans="4:13" x14ac:dyDescent="0.3">
      <c r="D33" t="str">
        <f t="shared" si="5"/>
        <v/>
      </c>
      <c r="E33" t="str">
        <f t="shared" si="6"/>
        <v/>
      </c>
      <c r="F33" t="str">
        <f>IF($D33&lt;&gt;"",_xlfn.CONCAT(A33,"@",$O$2),"")</f>
        <v/>
      </c>
      <c r="G33" t="str">
        <f>IF($D33&lt;&gt;"",LOWER(CONCATENATE(LEFT($D33,1),G$1,$E33,"@",$O$2)),"")</f>
        <v/>
      </c>
      <c r="H33" t="str">
        <f>IF($D33&lt;&gt;"",LOWER((CONCATENATE($D33,H$1,$E33,"@",$O$2))),"")</f>
        <v/>
      </c>
      <c r="I33" t="str">
        <f>IF($D33&lt;&gt;"",LOWER(CONCATENATE(LEFT($D33,1),I$1,$E33,"@",$O$2)),"")</f>
        <v/>
      </c>
      <c r="J33" t="str">
        <f>IF($D33&lt;&gt;"",LOWER(CONCATENATE(LEFT($D33,1),J$1,$E33,"@",$O$2)),"")</f>
        <v/>
      </c>
      <c r="K33" t="str">
        <f>IF($D33&lt;&gt;"",LOWER(CONCATENATE($D33,K$1,$E33,"@",$O$2)),"")</f>
        <v/>
      </c>
      <c r="L33" t="str">
        <f>IF($D33&lt;&gt;"",LOWER(CONCATENATE($D33,L$1,$E33,"@",$O$2)),"")</f>
        <v/>
      </c>
      <c r="M33" t="str">
        <f t="shared" si="2"/>
        <v/>
      </c>
    </row>
    <row r="34" spans="4:13" x14ac:dyDescent="0.3">
      <c r="D34" t="str">
        <f t="shared" si="5"/>
        <v/>
      </c>
      <c r="E34" t="str">
        <f t="shared" si="6"/>
        <v/>
      </c>
      <c r="F34" t="str">
        <f>IF($D34&lt;&gt;"",_xlfn.CONCAT(A34,"@",$O$2),"")</f>
        <v/>
      </c>
      <c r="G34" t="str">
        <f>IF($D34&lt;&gt;"",LOWER(CONCATENATE(LEFT($D34,1),G$1,$E34,"@",$O$2)),"")</f>
        <v/>
      </c>
      <c r="H34" t="str">
        <f>IF($D34&lt;&gt;"",LOWER((CONCATENATE($D34,H$1,$E34,"@",$O$2))),"")</f>
        <v/>
      </c>
      <c r="I34" t="str">
        <f>IF($D34&lt;&gt;"",LOWER(CONCATENATE(LEFT($D34,1),I$1,$E34,"@",$O$2)),"")</f>
        <v/>
      </c>
      <c r="J34" t="str">
        <f>IF($D34&lt;&gt;"",LOWER(CONCATENATE(LEFT($D34,1),J$1,$E34,"@",$O$2)),"")</f>
        <v/>
      </c>
      <c r="K34" t="str">
        <f>IF($D34&lt;&gt;"",LOWER(CONCATENATE($D34,K$1,$E34,"@",$O$2)),"")</f>
        <v/>
      </c>
      <c r="L34" t="str">
        <f>IF($D34&lt;&gt;"",LOWER(CONCATENATE($D34,L$1,$E34,"@",$O$2)),"")</f>
        <v/>
      </c>
      <c r="M34" t="str">
        <f t="shared" si="2"/>
        <v/>
      </c>
    </row>
    <row r="35" spans="4:13" x14ac:dyDescent="0.3">
      <c r="D35" t="str">
        <f t="shared" si="5"/>
        <v/>
      </c>
      <c r="E35" t="str">
        <f t="shared" si="6"/>
        <v/>
      </c>
      <c r="F35" t="str">
        <f>IF($D35&lt;&gt;"",_xlfn.CONCAT(A35,"@",$O$2),"")</f>
        <v/>
      </c>
      <c r="G35" t="str">
        <f>IF($D35&lt;&gt;"",LOWER(CONCATENATE(LEFT($D35,1),G$1,$E35,"@",$O$2)),"")</f>
        <v/>
      </c>
      <c r="H35" t="str">
        <f>IF($D35&lt;&gt;"",LOWER((CONCATENATE($D35,H$1,$E35,"@",$O$2))),"")</f>
        <v/>
      </c>
      <c r="I35" t="str">
        <f>IF($D35&lt;&gt;"",LOWER(CONCATENATE(LEFT($D35,1),I$1,$E35,"@",$O$2)),"")</f>
        <v/>
      </c>
      <c r="J35" t="str">
        <f>IF($D35&lt;&gt;"",LOWER(CONCATENATE(LEFT($D35,1),J$1,$E35,"@",$O$2)),"")</f>
        <v/>
      </c>
      <c r="K35" t="str">
        <f>IF($D35&lt;&gt;"",LOWER(CONCATENATE($D35,K$1,$E35,"@",$O$2)),"")</f>
        <v/>
      </c>
      <c r="L35" t="str">
        <f>IF($D35&lt;&gt;"",LOWER(CONCATENATE($D35,L$1,$E35,"@",$O$2)),"")</f>
        <v/>
      </c>
      <c r="M35" t="str">
        <f t="shared" si="2"/>
        <v/>
      </c>
    </row>
    <row r="36" spans="4:13" x14ac:dyDescent="0.3">
      <c r="D36" t="str">
        <f t="shared" si="5"/>
        <v/>
      </c>
      <c r="E36" t="str">
        <f t="shared" si="6"/>
        <v/>
      </c>
      <c r="F36" t="str">
        <f>IF($D36&lt;&gt;"",_xlfn.CONCAT(A36,"@",$O$2),"")</f>
        <v/>
      </c>
      <c r="G36" t="str">
        <f>IF($D36&lt;&gt;"",LOWER(CONCATENATE(LEFT($D36,1),G$1,$E36,"@",$O$2)),"")</f>
        <v/>
      </c>
      <c r="H36" t="str">
        <f>IF($D36&lt;&gt;"",LOWER((CONCATENATE($D36,H$1,$E36,"@",$O$2))),"")</f>
        <v/>
      </c>
      <c r="I36" t="str">
        <f>IF($D36&lt;&gt;"",LOWER(CONCATENATE(LEFT($D36,1),I$1,$E36,"@",$O$2)),"")</f>
        <v/>
      </c>
      <c r="J36" t="str">
        <f>IF($D36&lt;&gt;"",LOWER(CONCATENATE(LEFT($D36,1),J$1,$E36,"@",$O$2)),"")</f>
        <v/>
      </c>
      <c r="K36" t="str">
        <f>IF($D36&lt;&gt;"",LOWER(CONCATENATE($D36,K$1,$E36,"@",$O$2)),"")</f>
        <v/>
      </c>
      <c r="L36" t="str">
        <f>IF($D36&lt;&gt;"",LOWER(CONCATENATE($D36,L$1,$E36,"@",$O$2)),"")</f>
        <v/>
      </c>
      <c r="M36" t="str">
        <f t="shared" si="2"/>
        <v/>
      </c>
    </row>
    <row r="37" spans="4:13" x14ac:dyDescent="0.3">
      <c r="D37" t="str">
        <f t="shared" si="5"/>
        <v/>
      </c>
      <c r="E37" t="str">
        <f t="shared" si="6"/>
        <v/>
      </c>
      <c r="F37" t="str">
        <f>IF($D37&lt;&gt;"",_xlfn.CONCAT(A37,"@",$O$2),"")</f>
        <v/>
      </c>
      <c r="G37" t="str">
        <f>IF($D37&lt;&gt;"",LOWER(CONCATENATE(LEFT($D37,1),G$1,$E37,"@",$O$2)),"")</f>
        <v/>
      </c>
      <c r="H37" t="str">
        <f>IF($D37&lt;&gt;"",LOWER((CONCATENATE($D37,H$1,$E37,"@",$O$2))),"")</f>
        <v/>
      </c>
      <c r="I37" t="str">
        <f>IF($D37&lt;&gt;"",LOWER(CONCATENATE(LEFT($D37,1),I$1,$E37,"@",$O$2)),"")</f>
        <v/>
      </c>
      <c r="J37" t="str">
        <f>IF($D37&lt;&gt;"",LOWER(CONCATENATE(LEFT($D37,1),J$1,$E37,"@",$O$2)),"")</f>
        <v/>
      </c>
      <c r="K37" t="str">
        <f>IF($D37&lt;&gt;"",LOWER(CONCATENATE($D37,K$1,$E37,"@",$O$2)),"")</f>
        <v/>
      </c>
      <c r="L37" t="str">
        <f>IF($D37&lt;&gt;"",LOWER(CONCATENATE($D37,L$1,$E37,"@",$O$2)),"")</f>
        <v/>
      </c>
      <c r="M37" t="str">
        <f t="shared" si="2"/>
        <v/>
      </c>
    </row>
    <row r="38" spans="4:13" x14ac:dyDescent="0.3">
      <c r="D38" t="str">
        <f t="shared" si="5"/>
        <v/>
      </c>
      <c r="E38" t="str">
        <f t="shared" si="6"/>
        <v/>
      </c>
      <c r="F38" t="str">
        <f>IF($D38&lt;&gt;"",_xlfn.CONCAT(A38,"@",$O$2),"")</f>
        <v/>
      </c>
      <c r="G38" t="str">
        <f>IF($D38&lt;&gt;"",LOWER(CONCATENATE(LEFT($D38,1),G$1,$E38,"@",$O$2)),"")</f>
        <v/>
      </c>
      <c r="H38" t="str">
        <f>IF($D38&lt;&gt;"",LOWER((CONCATENATE($D38,H$1,$E38,"@",$O$2))),"")</f>
        <v/>
      </c>
      <c r="I38" t="str">
        <f>IF($D38&lt;&gt;"",LOWER(CONCATENATE(LEFT($D38,1),I$1,$E38,"@",$O$2)),"")</f>
        <v/>
      </c>
      <c r="J38" t="str">
        <f>IF($D38&lt;&gt;"",LOWER(CONCATENATE(LEFT($D38,1),J$1,$E38,"@",$O$2)),"")</f>
        <v/>
      </c>
      <c r="K38" t="str">
        <f>IF($D38&lt;&gt;"",LOWER(CONCATENATE($D38,K$1,$E38,"@",$O$2)),"")</f>
        <v/>
      </c>
      <c r="L38" t="str">
        <f>IF($D38&lt;&gt;"",LOWER(CONCATENATE($D38,L$1,$E38,"@",$O$2)),"")</f>
        <v/>
      </c>
      <c r="M38" t="str">
        <f t="shared" si="2"/>
        <v/>
      </c>
    </row>
    <row r="39" spans="4:13" x14ac:dyDescent="0.3">
      <c r="D39" t="str">
        <f t="shared" si="5"/>
        <v/>
      </c>
      <c r="E39" t="str">
        <f t="shared" si="6"/>
        <v/>
      </c>
      <c r="F39" t="str">
        <f>IF($D39&lt;&gt;"",_xlfn.CONCAT(A39,"@",$O$2),"")</f>
        <v/>
      </c>
      <c r="G39" t="str">
        <f>IF($D39&lt;&gt;"",LOWER(CONCATENATE(LEFT($D39,1),G$1,$E39,"@",$O$2)),"")</f>
        <v/>
      </c>
      <c r="H39" t="str">
        <f>IF($D39&lt;&gt;"",LOWER((CONCATENATE($D39,H$1,$E39,"@",$O$2))),"")</f>
        <v/>
      </c>
      <c r="I39" t="str">
        <f>IF($D39&lt;&gt;"",LOWER(CONCATENATE(LEFT($D39,1),I$1,$E39,"@",$O$2)),"")</f>
        <v/>
      </c>
      <c r="J39" t="str">
        <f>IF($D39&lt;&gt;"",LOWER(CONCATENATE(LEFT($D39,1),J$1,$E39,"@",$O$2)),"")</f>
        <v/>
      </c>
      <c r="K39" t="str">
        <f>IF($D39&lt;&gt;"",LOWER(CONCATENATE($D39,K$1,$E39,"@",$O$2)),"")</f>
        <v/>
      </c>
      <c r="L39" t="str">
        <f>IF($D39&lt;&gt;"",LOWER(CONCATENATE($D39,L$1,$E39,"@",$O$2)),"")</f>
        <v/>
      </c>
      <c r="M39" t="str">
        <f t="shared" si="2"/>
        <v/>
      </c>
    </row>
    <row r="40" spans="4:13" x14ac:dyDescent="0.3">
      <c r="D40" t="str">
        <f t="shared" si="5"/>
        <v/>
      </c>
      <c r="E40" t="str">
        <f t="shared" si="6"/>
        <v/>
      </c>
      <c r="F40" t="str">
        <f>IF($D40&lt;&gt;"",_xlfn.CONCAT(A40,"@",$O$2),"")</f>
        <v/>
      </c>
      <c r="G40" t="str">
        <f>IF($D40&lt;&gt;"",LOWER(CONCATENATE(LEFT($D40,1),G$1,$E40,"@",$O$2)),"")</f>
        <v/>
      </c>
      <c r="H40" t="str">
        <f>IF($D40&lt;&gt;"",LOWER((CONCATENATE($D40,H$1,$E40,"@",$O$2))),"")</f>
        <v/>
      </c>
      <c r="I40" t="str">
        <f>IF($D40&lt;&gt;"",LOWER(CONCATENATE(LEFT($D40,1),I$1,$E40,"@",$O$2)),"")</f>
        <v/>
      </c>
      <c r="J40" t="str">
        <f>IF($D40&lt;&gt;"",LOWER(CONCATENATE(LEFT($D40,1),J$1,$E40,"@",$O$2)),"")</f>
        <v/>
      </c>
      <c r="K40" t="str">
        <f>IF($D40&lt;&gt;"",LOWER(CONCATENATE($D40,K$1,$E40,"@",$O$2)),"")</f>
        <v/>
      </c>
      <c r="L40" t="str">
        <f>IF($D40&lt;&gt;"",LOWER(CONCATENATE($D40,L$1,$E40,"@",$O$2)),"")</f>
        <v/>
      </c>
      <c r="M40" t="str">
        <f t="shared" si="2"/>
        <v/>
      </c>
    </row>
    <row r="41" spans="4:13" x14ac:dyDescent="0.3">
      <c r="D41" t="str">
        <f t="shared" si="5"/>
        <v/>
      </c>
      <c r="E41" t="str">
        <f t="shared" si="6"/>
        <v/>
      </c>
      <c r="F41" t="str">
        <f>IF($D41&lt;&gt;"",_xlfn.CONCAT(A41,"@",$O$2),"")</f>
        <v/>
      </c>
      <c r="G41" t="str">
        <f>IF($D41&lt;&gt;"",LOWER(CONCATENATE(LEFT($D41,1),G$1,$E41,"@",$O$2)),"")</f>
        <v/>
      </c>
      <c r="H41" t="str">
        <f>IF($D41&lt;&gt;"",LOWER((CONCATENATE($D41,H$1,$E41,"@",$O$2))),"")</f>
        <v/>
      </c>
      <c r="I41" t="str">
        <f>IF($D41&lt;&gt;"",LOWER(CONCATENATE(LEFT($D41,1),I$1,$E41,"@",$O$2)),"")</f>
        <v/>
      </c>
      <c r="J41" t="str">
        <f>IF($D41&lt;&gt;"",LOWER(CONCATENATE(LEFT($D41,1),J$1,$E41,"@",$O$2)),"")</f>
        <v/>
      </c>
      <c r="K41" t="str">
        <f>IF($D41&lt;&gt;"",LOWER(CONCATENATE($D41,K$1,$E41,"@",$O$2)),"")</f>
        <v/>
      </c>
      <c r="L41" t="str">
        <f>IF($D41&lt;&gt;"",LOWER(CONCATENATE($D41,L$1,$E41,"@",$O$2)),"")</f>
        <v/>
      </c>
      <c r="M41" t="str">
        <f t="shared" si="2"/>
        <v/>
      </c>
    </row>
    <row r="42" spans="4:13" x14ac:dyDescent="0.3">
      <c r="D42" t="str">
        <f t="shared" si="5"/>
        <v/>
      </c>
      <c r="E42" t="str">
        <f t="shared" si="6"/>
        <v/>
      </c>
      <c r="F42" t="str">
        <f>IF($D42&lt;&gt;"",_xlfn.CONCAT(A42,"@",$O$2),"")</f>
        <v/>
      </c>
      <c r="G42" t="str">
        <f t="shared" ref="G42:G91" si="7">IF($D42&lt;&gt;"",LOWER(CONCATENATE(LEFT($D42,1),G$1,$E42,"@",$O$2)),"")</f>
        <v/>
      </c>
      <c r="H42" t="str">
        <f t="shared" ref="H42:H91" si="8">IF($D42&lt;&gt;"",(CONCATENATE($D42,H$1,$E42,"@",$O$2)),"")</f>
        <v/>
      </c>
      <c r="I42" t="str">
        <f>IF($D42&lt;&gt;"",LOWER(CONCATENATE(LEFT($D42,1),I$1,$E42,"@",$O$2)),"")</f>
        <v/>
      </c>
      <c r="J42" t="str">
        <f>IF($D42&lt;&gt;"",LOWER(CONCATENATE(LEFT($D42,1),J$1,$E42,"@",$O$2)),"")</f>
        <v/>
      </c>
      <c r="K42" t="str">
        <f>IF($D42&lt;&gt;"",LOWER(CONCATENATE($D42,K$1,$E42,"@",$O$2)),"")</f>
        <v/>
      </c>
      <c r="L42" t="str">
        <f>IF($D42&lt;&gt;"",LOWER(CONCATENATE($D42,L$1,$E42,"@",$O$2)),"")</f>
        <v/>
      </c>
      <c r="M42" t="str">
        <f t="shared" si="2"/>
        <v/>
      </c>
    </row>
    <row r="43" spans="4:13" x14ac:dyDescent="0.3">
      <c r="D43" t="str">
        <f t="shared" si="5"/>
        <v/>
      </c>
      <c r="E43" t="str">
        <f t="shared" si="6"/>
        <v/>
      </c>
      <c r="F43" t="str">
        <f>IF($D43&lt;&gt;"",_xlfn.CONCAT(A43,"@",$O$2),"")</f>
        <v/>
      </c>
      <c r="G43" t="str">
        <f t="shared" si="7"/>
        <v/>
      </c>
      <c r="H43" t="str">
        <f t="shared" si="8"/>
        <v/>
      </c>
      <c r="I43" t="str">
        <f>IF($D43&lt;&gt;"",LOWER(CONCATENATE(LEFT($D43,1),I$1,$E43,"@",$O$2)),"")</f>
        <v/>
      </c>
      <c r="J43" t="str">
        <f>IF($D43&lt;&gt;"",LOWER(CONCATENATE(LEFT($D43,1),J$1,$E43,"@",$O$2)),"")</f>
        <v/>
      </c>
      <c r="K43" t="str">
        <f>IF($D43&lt;&gt;"",LOWER(CONCATENATE($D43,K$1,$E43,"@",$O$2)),"")</f>
        <v/>
      </c>
      <c r="L43" t="str">
        <f>IF($D43&lt;&gt;"",LOWER(CONCATENATE($D43,L$1,$E43,"@",$O$2)),"")</f>
        <v/>
      </c>
      <c r="M43" t="str">
        <f t="shared" si="2"/>
        <v/>
      </c>
    </row>
    <row r="44" spans="4:13" x14ac:dyDescent="0.3">
      <c r="D44" t="str">
        <f t="shared" si="5"/>
        <v/>
      </c>
      <c r="E44" t="str">
        <f t="shared" si="6"/>
        <v/>
      </c>
      <c r="F44" t="str">
        <f>IF($D44&lt;&gt;"",_xlfn.CONCAT(A44,"@",$O$2),"")</f>
        <v/>
      </c>
      <c r="G44" t="str">
        <f t="shared" si="7"/>
        <v/>
      </c>
      <c r="H44" t="str">
        <f t="shared" si="8"/>
        <v/>
      </c>
      <c r="I44" t="str">
        <f>IF($D44&lt;&gt;"",LOWER(CONCATENATE(LEFT($D44,1),I$1,$E44,"@",$O$2)),"")</f>
        <v/>
      </c>
      <c r="J44" t="str">
        <f>IF($D44&lt;&gt;"",LOWER(CONCATENATE(LEFT($D44,1),J$1,$E44,"@",$O$2)),"")</f>
        <v/>
      </c>
      <c r="K44" t="str">
        <f>IF($D44&lt;&gt;"",LOWER(CONCATENATE($D44,K$1,$E44,"@",$O$2)),"")</f>
        <v/>
      </c>
      <c r="L44" t="str">
        <f>IF($D44&lt;&gt;"",LOWER(CONCATENATE($D44,L$1,$E44,"@",$O$2)),"")</f>
        <v/>
      </c>
      <c r="M44" t="str">
        <f t="shared" si="2"/>
        <v/>
      </c>
    </row>
    <row r="45" spans="4:13" x14ac:dyDescent="0.3">
      <c r="D45" t="str">
        <f t="shared" si="5"/>
        <v/>
      </c>
      <c r="E45" t="str">
        <f t="shared" si="6"/>
        <v/>
      </c>
      <c r="F45" t="str">
        <f>IF($D45&lt;&gt;"",_xlfn.CONCAT(A45,"@",$O$2),"")</f>
        <v/>
      </c>
      <c r="G45" t="str">
        <f t="shared" si="7"/>
        <v/>
      </c>
      <c r="H45" t="str">
        <f t="shared" si="8"/>
        <v/>
      </c>
      <c r="I45" t="str">
        <f>IF($D45&lt;&gt;"",LOWER(CONCATENATE(LEFT($D45,1),I$1,$E45,"@",$O$2)),"")</f>
        <v/>
      </c>
      <c r="J45" t="str">
        <f>IF($D45&lt;&gt;"",LOWER(CONCATENATE(LEFT($D45,1),J$1,$E45,"@",$O$2)),"")</f>
        <v/>
      </c>
      <c r="K45" t="str">
        <f>IF($D45&lt;&gt;"",LOWER(CONCATENATE($D45,K$1,$E45,"@",$O$2)),"")</f>
        <v/>
      </c>
      <c r="L45" t="str">
        <f>IF($D45&lt;&gt;"",LOWER(CONCATENATE($D45,L$1,$E45,"@",$O$2)),"")</f>
        <v/>
      </c>
      <c r="M45" t="str">
        <f t="shared" si="2"/>
        <v/>
      </c>
    </row>
    <row r="46" spans="4:13" x14ac:dyDescent="0.3">
      <c r="D46" t="str">
        <f t="shared" si="5"/>
        <v/>
      </c>
      <c r="E46" t="str">
        <f t="shared" si="6"/>
        <v/>
      </c>
      <c r="F46" t="str">
        <f>IF($D46&lt;&gt;"",_xlfn.CONCAT(A46,"@",$O$2),"")</f>
        <v/>
      </c>
      <c r="G46" t="str">
        <f t="shared" si="7"/>
        <v/>
      </c>
      <c r="H46" t="str">
        <f t="shared" si="8"/>
        <v/>
      </c>
      <c r="I46" t="str">
        <f>IF($D46&lt;&gt;"",LOWER(CONCATENATE(LEFT($D46,1),I$1,$E46,"@",$O$2)),"")</f>
        <v/>
      </c>
      <c r="J46" t="str">
        <f>IF($D46&lt;&gt;"",LOWER(CONCATENATE(LEFT($D46,1),J$1,$E46,"@",$O$2)),"")</f>
        <v/>
      </c>
      <c r="K46" t="str">
        <f>IF($D46&lt;&gt;"",LOWER(CONCATENATE($D46,K$1,$E46,"@",$O$2)),"")</f>
        <v/>
      </c>
      <c r="L46" t="str">
        <f>IF($D46&lt;&gt;"",LOWER(CONCATENATE($D46,L$1,$E46,"@",$O$2)),"")</f>
        <v/>
      </c>
      <c r="M46" t="str">
        <f t="shared" si="2"/>
        <v/>
      </c>
    </row>
    <row r="47" spans="4:13" x14ac:dyDescent="0.3">
      <c r="D47" t="str">
        <f t="shared" si="5"/>
        <v/>
      </c>
      <c r="E47" t="str">
        <f t="shared" si="6"/>
        <v/>
      </c>
      <c r="F47" t="str">
        <f>IF($D47&lt;&gt;"",_xlfn.CONCAT(A47,"@",$O$2),"")</f>
        <v/>
      </c>
      <c r="G47" t="str">
        <f t="shared" si="7"/>
        <v/>
      </c>
      <c r="H47" t="str">
        <f t="shared" si="8"/>
        <v/>
      </c>
      <c r="I47" t="str">
        <f>IF($D47&lt;&gt;"",LOWER(CONCATENATE(LEFT($D47,1),I$1,$E47,"@",$O$2)),"")</f>
        <v/>
      </c>
      <c r="J47" t="str">
        <f>IF($D47&lt;&gt;"",LOWER(CONCATENATE(LEFT($D47,1),J$1,$E47,"@",$O$2)),"")</f>
        <v/>
      </c>
      <c r="K47" t="str">
        <f>IF($D47&lt;&gt;"",LOWER(CONCATENATE($D47,K$1,$E47,"@",$O$2)),"")</f>
        <v/>
      </c>
      <c r="L47" t="str">
        <f>IF($D47&lt;&gt;"",LOWER(CONCATENATE($D47,L$1,$E47,"@",$O$2)),"")</f>
        <v/>
      </c>
      <c r="M47" t="str">
        <f t="shared" si="2"/>
        <v/>
      </c>
    </row>
    <row r="48" spans="4:13" x14ac:dyDescent="0.3">
      <c r="D48" t="str">
        <f t="shared" si="5"/>
        <v/>
      </c>
      <c r="E48" t="str">
        <f t="shared" si="6"/>
        <v/>
      </c>
      <c r="F48" t="str">
        <f>IF($D48&lt;&gt;"",_xlfn.CONCAT(A48,"@",$O$2),"")</f>
        <v/>
      </c>
      <c r="G48" t="str">
        <f t="shared" si="7"/>
        <v/>
      </c>
      <c r="H48" t="str">
        <f t="shared" si="8"/>
        <v/>
      </c>
      <c r="I48" t="str">
        <f>IF($D48&lt;&gt;"",LOWER(CONCATENATE(LEFT($D48,1),I$1,$E48,"@",$O$2)),"")</f>
        <v/>
      </c>
      <c r="J48" t="str">
        <f>IF($D48&lt;&gt;"",LOWER(CONCATENATE(LEFT($D48,1),J$1,$E48,"@",$O$2)),"")</f>
        <v/>
      </c>
      <c r="K48" t="str">
        <f>IF($D48&lt;&gt;"",LOWER(CONCATENATE($D48,K$1,$E48,"@",$O$2)),"")</f>
        <v/>
      </c>
      <c r="L48" t="str">
        <f>IF($D48&lt;&gt;"",LOWER(CONCATENATE($D48,L$1,$E48,"@",$O$2)),"")</f>
        <v/>
      </c>
      <c r="M48" t="str">
        <f t="shared" si="2"/>
        <v/>
      </c>
    </row>
    <row r="49" spans="4:13" x14ac:dyDescent="0.3">
      <c r="D49" t="str">
        <f t="shared" si="5"/>
        <v/>
      </c>
      <c r="E49" t="str">
        <f t="shared" si="6"/>
        <v/>
      </c>
      <c r="F49" t="str">
        <f>IF($D49&lt;&gt;"",_xlfn.CONCAT(A49,"@",$O$2),"")</f>
        <v/>
      </c>
      <c r="G49" t="str">
        <f t="shared" si="7"/>
        <v/>
      </c>
      <c r="H49" t="str">
        <f t="shared" si="8"/>
        <v/>
      </c>
      <c r="I49" t="str">
        <f>IF($D49&lt;&gt;"",LOWER(CONCATENATE(LEFT($D49,1),I$1,$E49,"@",$O$2)),"")</f>
        <v/>
      </c>
      <c r="J49" t="str">
        <f>IF($D49&lt;&gt;"",LOWER(CONCATENATE(LEFT($D49,1),J$1,$E49,"@",$O$2)),"")</f>
        <v/>
      </c>
      <c r="K49" t="str">
        <f>IF($D49&lt;&gt;"",LOWER(CONCATENATE($D49,K$1,$E49,"@",$O$2)),"")</f>
        <v/>
      </c>
      <c r="L49" t="str">
        <f>IF($D49&lt;&gt;"",LOWER(CONCATENATE($D49,L$1,$E49,"@",$O$2)),"")</f>
        <v/>
      </c>
      <c r="M49" t="str">
        <f t="shared" si="2"/>
        <v/>
      </c>
    </row>
    <row r="50" spans="4:13" x14ac:dyDescent="0.3">
      <c r="D50" t="str">
        <f t="shared" si="5"/>
        <v/>
      </c>
      <c r="E50" t="str">
        <f t="shared" si="6"/>
        <v/>
      </c>
      <c r="F50" t="str">
        <f>IF($D50&lt;&gt;"",_xlfn.CONCAT(A50,"@",$O$2),"")</f>
        <v/>
      </c>
      <c r="G50" t="str">
        <f t="shared" si="7"/>
        <v/>
      </c>
      <c r="H50" t="str">
        <f t="shared" si="8"/>
        <v/>
      </c>
      <c r="I50" t="str">
        <f>IF($D50&lt;&gt;"",LOWER(CONCATENATE(LEFT($D50,1),I$1,$E50,"@",$O$2)),"")</f>
        <v/>
      </c>
      <c r="J50" t="str">
        <f>IF($D50&lt;&gt;"",LOWER(CONCATENATE(LEFT($D50,1),J$1,$E50,"@",$O$2)),"")</f>
        <v/>
      </c>
      <c r="K50" t="str">
        <f>IF($D50&lt;&gt;"",LOWER(CONCATENATE($D50,K$1,$E50,"@",$O$2)),"")</f>
        <v/>
      </c>
      <c r="L50" t="str">
        <f>IF($D50&lt;&gt;"",LOWER(CONCATENATE($D50,L$1,$E50,"@",$O$2)),"")</f>
        <v/>
      </c>
      <c r="M50" t="str">
        <f t="shared" si="2"/>
        <v/>
      </c>
    </row>
    <row r="51" spans="4:13" x14ac:dyDescent="0.3">
      <c r="D51" t="str">
        <f t="shared" si="5"/>
        <v/>
      </c>
      <c r="E51" t="str">
        <f t="shared" si="6"/>
        <v/>
      </c>
      <c r="F51" t="str">
        <f>IF($D51&lt;&gt;"",_xlfn.CONCAT(A51,"@",$O$2),"")</f>
        <v/>
      </c>
      <c r="G51" t="str">
        <f t="shared" si="7"/>
        <v/>
      </c>
      <c r="H51" t="str">
        <f t="shared" si="8"/>
        <v/>
      </c>
      <c r="I51" t="str">
        <f>IF($D51&lt;&gt;"",LOWER(CONCATENATE(LEFT($D51,1),I$1,$E51,"@",$O$2)),"")</f>
        <v/>
      </c>
      <c r="J51" t="str">
        <f>IF($D51&lt;&gt;"",LOWER(CONCATENATE(LEFT($D51,1),J$1,$E51,"@",$O$2)),"")</f>
        <v/>
      </c>
      <c r="K51" t="str">
        <f>IF($D51&lt;&gt;"",LOWER(CONCATENATE($D51,K$1,$E51,"@",$O$2)),"")</f>
        <v/>
      </c>
      <c r="L51" t="str">
        <f>IF($D51&lt;&gt;"",LOWER(CONCATENATE($D51,L$1,$E51,"@",$O$2)),"")</f>
        <v/>
      </c>
      <c r="M51" t="str">
        <f t="shared" si="2"/>
        <v/>
      </c>
    </row>
    <row r="52" spans="4:13" x14ac:dyDescent="0.3">
      <c r="D52" t="str">
        <f t="shared" si="5"/>
        <v/>
      </c>
      <c r="E52" t="str">
        <f t="shared" si="6"/>
        <v/>
      </c>
      <c r="F52" t="str">
        <f>IF($D52&lt;&gt;"",_xlfn.CONCAT(A52,"@",$O$2),"")</f>
        <v/>
      </c>
      <c r="G52" t="str">
        <f t="shared" si="7"/>
        <v/>
      </c>
      <c r="H52" t="str">
        <f t="shared" si="8"/>
        <v/>
      </c>
      <c r="I52" t="str">
        <f>IF($D52&lt;&gt;"",LOWER(CONCATENATE(LEFT($D52,1),I$1,$E52,"@",$O$2)),"")</f>
        <v/>
      </c>
      <c r="J52" t="str">
        <f>IF($D52&lt;&gt;"",LOWER(CONCATENATE(LEFT($D52,1),J$1,$E52,"@",$O$2)),"")</f>
        <v/>
      </c>
      <c r="K52" t="str">
        <f>IF($D52&lt;&gt;"",LOWER(CONCATENATE($D52,K$1,$E52,"@",$O$2)),"")</f>
        <v/>
      </c>
      <c r="L52" t="str">
        <f>IF($D52&lt;&gt;"",LOWER(CONCATENATE($D52,L$1,$E52,"@",$O$2)),"")</f>
        <v/>
      </c>
      <c r="M52" t="str">
        <f t="shared" si="2"/>
        <v/>
      </c>
    </row>
    <row r="53" spans="4:13" x14ac:dyDescent="0.3">
      <c r="D53" t="str">
        <f t="shared" si="5"/>
        <v/>
      </c>
      <c r="E53" t="str">
        <f t="shared" si="6"/>
        <v/>
      </c>
      <c r="F53" t="str">
        <f>IF($D53&lt;&gt;"",_xlfn.CONCAT(A53,"@",$O$2),"")</f>
        <v/>
      </c>
      <c r="G53" t="str">
        <f t="shared" si="7"/>
        <v/>
      </c>
      <c r="H53" t="str">
        <f t="shared" si="8"/>
        <v/>
      </c>
      <c r="I53" t="str">
        <f>IF($D53&lt;&gt;"",LOWER(CONCATENATE(LEFT($D53,1),I$1,$E53,"@",$O$2)),"")</f>
        <v/>
      </c>
      <c r="J53" t="str">
        <f>IF($D53&lt;&gt;"",LOWER(CONCATENATE(LEFT($D53,1),J$1,$E53,"@",$O$2)),"")</f>
        <v/>
      </c>
      <c r="K53" t="str">
        <f>IF($D53&lt;&gt;"",LOWER(CONCATENATE($D53,K$1,$E53,"@",$O$2)),"")</f>
        <v/>
      </c>
      <c r="L53" t="str">
        <f>IF($D53&lt;&gt;"",LOWER(CONCATENATE($D53,L$1,$E53,"@",$O$2)),"")</f>
        <v/>
      </c>
      <c r="M53" t="str">
        <f t="shared" si="2"/>
        <v/>
      </c>
    </row>
    <row r="54" spans="4:13" x14ac:dyDescent="0.3">
      <c r="D54" t="str">
        <f t="shared" si="5"/>
        <v/>
      </c>
      <c r="E54" t="str">
        <f t="shared" si="6"/>
        <v/>
      </c>
      <c r="F54" t="str">
        <f>IF($D54&lt;&gt;"",_xlfn.CONCAT(A54,"@",$O$2),"")</f>
        <v/>
      </c>
      <c r="G54" t="str">
        <f t="shared" si="7"/>
        <v/>
      </c>
      <c r="H54" t="str">
        <f t="shared" si="8"/>
        <v/>
      </c>
      <c r="I54" t="str">
        <f>IF($D54&lt;&gt;"",LOWER(CONCATENATE(LEFT($D54,1),I$1,$E54,"@",$O$2)),"")</f>
        <v/>
      </c>
      <c r="J54" t="str">
        <f>IF($D54&lt;&gt;"",LOWER(CONCATENATE(LEFT($D54,1),J$1,$E54,"@",$O$2)),"")</f>
        <v/>
      </c>
      <c r="K54" t="str">
        <f>IF($D54&lt;&gt;"",LOWER(CONCATENATE($D54,K$1,$E54,"@",$O$2)),"")</f>
        <v/>
      </c>
      <c r="L54" t="str">
        <f>IF($D54&lt;&gt;"",LOWER(CONCATENATE($D54,L$1,$E54,"@",$O$2)),"")</f>
        <v/>
      </c>
      <c r="M54" t="str">
        <f t="shared" si="2"/>
        <v/>
      </c>
    </row>
    <row r="55" spans="4:13" x14ac:dyDescent="0.3">
      <c r="D55" t="str">
        <f t="shared" si="5"/>
        <v/>
      </c>
      <c r="E55" t="str">
        <f t="shared" si="6"/>
        <v/>
      </c>
      <c r="F55" t="str">
        <f>IF($D55&lt;&gt;"",_xlfn.CONCAT(A55,"@",$O$2),"")</f>
        <v/>
      </c>
      <c r="G55" t="str">
        <f t="shared" si="7"/>
        <v/>
      </c>
      <c r="H55" t="str">
        <f t="shared" si="8"/>
        <v/>
      </c>
      <c r="I55" t="str">
        <f>IF($D55&lt;&gt;"",LOWER(CONCATENATE(LEFT($D55,1),I$1,$E55,"@",$O$2)),"")</f>
        <v/>
      </c>
      <c r="J55" t="str">
        <f>IF($D55&lt;&gt;"",LOWER(CONCATENATE(LEFT($D55,1),J$1,$E55,"@",$O$2)),"")</f>
        <v/>
      </c>
      <c r="K55" t="str">
        <f>IF($D55&lt;&gt;"",LOWER(CONCATENATE($D55,K$1,$E55,"@",$O$2)),"")</f>
        <v/>
      </c>
      <c r="L55" t="str">
        <f>IF($D55&lt;&gt;"",LOWER(CONCATENATE($D55,L$1,$E55,"@",$O$2)),"")</f>
        <v/>
      </c>
      <c r="M55" t="str">
        <f t="shared" si="2"/>
        <v/>
      </c>
    </row>
    <row r="56" spans="4:13" x14ac:dyDescent="0.3">
      <c r="D56" t="str">
        <f t="shared" si="5"/>
        <v/>
      </c>
      <c r="E56" t="str">
        <f t="shared" si="6"/>
        <v/>
      </c>
      <c r="F56" t="str">
        <f t="shared" ref="F56:F119" si="9">IF($D56&lt;&gt;"",_xlfn.CONCAT(A56,"@",$O$2),"")</f>
        <v/>
      </c>
      <c r="G56" t="str">
        <f t="shared" si="7"/>
        <v/>
      </c>
      <c r="H56" t="str">
        <f t="shared" si="8"/>
        <v/>
      </c>
      <c r="I56" t="str">
        <f>IF($D56&lt;&gt;"",LOWER(CONCATENATE(LEFT($D56,1),I$1,$E56,"@",$O$2)),"")</f>
        <v/>
      </c>
      <c r="J56" t="str">
        <f>IF($D56&lt;&gt;"",LOWER(CONCATENATE(LEFT($D56,1),J$1,$E56,"@",$O$2)),"")</f>
        <v/>
      </c>
      <c r="K56" t="str">
        <f>IF($D56&lt;&gt;"",LOWER(CONCATENATE($D56,K$1,$E56,"@",$O$2)),"")</f>
        <v/>
      </c>
      <c r="L56" t="str">
        <f>IF($D56&lt;&gt;"",LOWER(CONCATENATE($D56,L$1,$E56,"@",$O$2)),"")</f>
        <v/>
      </c>
      <c r="M56" t="str">
        <f t="shared" si="2"/>
        <v/>
      </c>
    </row>
    <row r="57" spans="4:13" x14ac:dyDescent="0.3">
      <c r="D57" t="str">
        <f t="shared" si="5"/>
        <v/>
      </c>
      <c r="E57" t="str">
        <f t="shared" si="6"/>
        <v/>
      </c>
      <c r="F57" t="str">
        <f t="shared" si="9"/>
        <v/>
      </c>
      <c r="G57" t="str">
        <f t="shared" si="7"/>
        <v/>
      </c>
      <c r="H57" t="str">
        <f t="shared" si="8"/>
        <v/>
      </c>
      <c r="I57" t="str">
        <f>IF($D57&lt;&gt;"",LOWER(CONCATENATE(LEFT($D57,1),I$1,$E57,"@",$O$2)),"")</f>
        <v/>
      </c>
      <c r="J57" t="str">
        <f>IF($D57&lt;&gt;"",LOWER(CONCATENATE(LEFT($D57,1),J$1,$E57,"@",$O$2)),"")</f>
        <v/>
      </c>
      <c r="K57" t="str">
        <f>IF($D57&lt;&gt;"",LOWER(CONCATENATE($D57,K$1,$E57,"@",$O$2)),"")</f>
        <v/>
      </c>
      <c r="L57" t="str">
        <f>IF($D57&lt;&gt;"",LOWER(CONCATENATE($D57,L$1,$E57,"@",$O$2)),"")</f>
        <v/>
      </c>
      <c r="M57" t="str">
        <f t="shared" si="2"/>
        <v/>
      </c>
    </row>
    <row r="58" spans="4:13" x14ac:dyDescent="0.3">
      <c r="D58" t="str">
        <f t="shared" si="5"/>
        <v/>
      </c>
      <c r="E58" t="str">
        <f t="shared" si="6"/>
        <v/>
      </c>
      <c r="F58" t="str">
        <f t="shared" si="9"/>
        <v/>
      </c>
      <c r="G58" t="str">
        <f t="shared" si="7"/>
        <v/>
      </c>
      <c r="H58" t="str">
        <f t="shared" si="8"/>
        <v/>
      </c>
      <c r="I58" t="str">
        <f>IF($D58&lt;&gt;"",LOWER(CONCATENATE(LEFT($D58,1),I$1,$E58,"@",$O$2)),"")</f>
        <v/>
      </c>
      <c r="J58" t="str">
        <f>IF($D58&lt;&gt;"",LOWER(CONCATENATE(LEFT($D58,1),J$1,$E58,"@",$O$2)),"")</f>
        <v/>
      </c>
      <c r="K58" t="str">
        <f>IF($D58&lt;&gt;"",LOWER(CONCATENATE($D58,K$1,$E58,"@",$O$2)),"")</f>
        <v/>
      </c>
      <c r="L58" t="str">
        <f>IF($D58&lt;&gt;"",LOWER(CONCATENATE($D58,L$1,$E58,"@",$O$2)),"")</f>
        <v/>
      </c>
      <c r="M58" t="str">
        <f t="shared" si="2"/>
        <v/>
      </c>
    </row>
    <row r="59" spans="4:13" x14ac:dyDescent="0.3">
      <c r="D59" t="str">
        <f t="shared" si="5"/>
        <v/>
      </c>
      <c r="E59" t="str">
        <f t="shared" si="6"/>
        <v/>
      </c>
      <c r="F59" t="str">
        <f t="shared" si="9"/>
        <v/>
      </c>
      <c r="G59" t="str">
        <f t="shared" si="7"/>
        <v/>
      </c>
      <c r="H59" t="str">
        <f t="shared" si="8"/>
        <v/>
      </c>
      <c r="I59" t="str">
        <f>IF($D59&lt;&gt;"",LOWER(CONCATENATE(LEFT($D59,1),I$1,$E59,"@",$O$2)),"")</f>
        <v/>
      </c>
      <c r="J59" t="str">
        <f>IF($D59&lt;&gt;"",LOWER(CONCATENATE(LEFT($D59,1),J$1,$E59,"@",$O$2)),"")</f>
        <v/>
      </c>
      <c r="K59" t="str">
        <f>IF($D59&lt;&gt;"",LOWER(CONCATENATE($D59,K$1,$E59,"@",$O$2)),"")</f>
        <v/>
      </c>
      <c r="L59" t="str">
        <f>IF($D59&lt;&gt;"",LOWER(CONCATENATE($D59,L$1,$E59,"@",$O$2)),"")</f>
        <v/>
      </c>
      <c r="M59" t="str">
        <f t="shared" si="2"/>
        <v/>
      </c>
    </row>
    <row r="60" spans="4:13" x14ac:dyDescent="0.3">
      <c r="D60" t="str">
        <f t="shared" si="5"/>
        <v/>
      </c>
      <c r="E60" t="str">
        <f t="shared" si="6"/>
        <v/>
      </c>
      <c r="F60" t="str">
        <f t="shared" si="9"/>
        <v/>
      </c>
      <c r="G60" t="str">
        <f t="shared" si="7"/>
        <v/>
      </c>
      <c r="H60" t="str">
        <f t="shared" si="8"/>
        <v/>
      </c>
      <c r="I60" t="str">
        <f>IF($D60&lt;&gt;"",LOWER(CONCATENATE(LEFT($D60,1),I$1,$E60,"@",$O$2)),"")</f>
        <v/>
      </c>
      <c r="J60" t="str">
        <f>IF($D60&lt;&gt;"",LOWER(CONCATENATE(LEFT($D60,1),J$1,$E60,"@",$O$2)),"")</f>
        <v/>
      </c>
      <c r="K60" t="str">
        <f>IF($D60&lt;&gt;"",LOWER(CONCATENATE($D60,K$1,$E60,"@",$O$2)),"")</f>
        <v/>
      </c>
      <c r="L60" t="str">
        <f>IF($D60&lt;&gt;"",LOWER(CONCATENATE($D60,L$1,$E60,"@",$O$2)),"")</f>
        <v/>
      </c>
      <c r="M60" t="str">
        <f t="shared" si="2"/>
        <v/>
      </c>
    </row>
    <row r="61" spans="4:13" x14ac:dyDescent="0.3">
      <c r="D61" t="str">
        <f t="shared" si="5"/>
        <v/>
      </c>
      <c r="E61" t="str">
        <f t="shared" si="6"/>
        <v/>
      </c>
      <c r="F61" t="str">
        <f t="shared" si="9"/>
        <v/>
      </c>
      <c r="G61" t="str">
        <f t="shared" si="7"/>
        <v/>
      </c>
      <c r="H61" t="str">
        <f t="shared" si="8"/>
        <v/>
      </c>
      <c r="I61" t="str">
        <f>IF($D61&lt;&gt;"",LOWER(CONCATENATE(LEFT($D61,1),I$1,$E61,"@",$O$2)),"")</f>
        <v/>
      </c>
      <c r="J61" t="str">
        <f>IF($D61&lt;&gt;"",LOWER(CONCATENATE(LEFT($D61,1),J$1,$E61,"@",$O$2)),"")</f>
        <v/>
      </c>
      <c r="K61" t="str">
        <f>IF($D61&lt;&gt;"",LOWER(CONCATENATE($D61,K$1,$E61,"@",$O$2)),"")</f>
        <v/>
      </c>
      <c r="L61" t="str">
        <f>IF($D61&lt;&gt;"",LOWER(CONCATENATE($D61,L$1,$E61,"@",$O$2)),"")</f>
        <v/>
      </c>
      <c r="M61" t="str">
        <f t="shared" si="2"/>
        <v/>
      </c>
    </row>
    <row r="62" spans="4:13" x14ac:dyDescent="0.3">
      <c r="D62" t="str">
        <f t="shared" ref="D62:D111" si="10">IF(A62&lt;&gt;"",TRIM(A62),"")</f>
        <v/>
      </c>
      <c r="E62" t="str">
        <f t="shared" ref="E62:E111" si="11">IF(B62&lt;&gt;"",TRIM(B62),"")</f>
        <v/>
      </c>
      <c r="F62" t="str">
        <f t="shared" si="9"/>
        <v/>
      </c>
      <c r="G62" t="str">
        <f t="shared" si="7"/>
        <v/>
      </c>
      <c r="H62" t="str">
        <f t="shared" si="8"/>
        <v/>
      </c>
      <c r="I62" t="str">
        <f>IF($D62&lt;&gt;"",LOWER(CONCATENATE(LEFT($D62,1),I$1,$E62,"@",$O$2)),"")</f>
        <v/>
      </c>
      <c r="J62" t="str">
        <f>IF($D62&lt;&gt;"",LOWER(CONCATENATE(LEFT($D62,1),J$1,$E62,"@",$O$2)),"")</f>
        <v/>
      </c>
      <c r="K62" t="str">
        <f>IF($D62&lt;&gt;"",LOWER(CONCATENATE($D62,K$1,$E62,"@",$O$2)),"")</f>
        <v/>
      </c>
      <c r="L62" t="str">
        <f>IF($D62&lt;&gt;"",LOWER(CONCATENATE($D62,L$1,$E62,"@",$O$2)),"")</f>
        <v/>
      </c>
      <c r="M62" t="str">
        <f t="shared" si="2"/>
        <v/>
      </c>
    </row>
    <row r="63" spans="4:13" x14ac:dyDescent="0.3">
      <c r="D63" t="str">
        <f t="shared" si="10"/>
        <v/>
      </c>
      <c r="E63" t="str">
        <f t="shared" si="11"/>
        <v/>
      </c>
      <c r="F63" t="str">
        <f t="shared" si="9"/>
        <v/>
      </c>
      <c r="G63" t="str">
        <f t="shared" si="7"/>
        <v/>
      </c>
      <c r="H63" t="str">
        <f t="shared" si="8"/>
        <v/>
      </c>
      <c r="I63" t="str">
        <f>IF($D63&lt;&gt;"",LOWER(CONCATENATE(LEFT($D63,1),I$1,$E63,"@",$O$2)),"")</f>
        <v/>
      </c>
      <c r="J63" t="str">
        <f>IF($D63&lt;&gt;"",LOWER(CONCATENATE(LEFT($D63,1),J$1,$E63,"@",$O$2)),"")</f>
        <v/>
      </c>
      <c r="K63" t="str">
        <f>IF($D63&lt;&gt;"",LOWER(CONCATENATE($D63,K$1,$E63,"@",$O$2)),"")</f>
        <v/>
      </c>
      <c r="L63" t="str">
        <f>IF($D63&lt;&gt;"",LOWER(CONCATENATE($D63,L$1,$E63,"@",$O$2)),"")</f>
        <v/>
      </c>
      <c r="M63" t="str">
        <f t="shared" si="2"/>
        <v/>
      </c>
    </row>
    <row r="64" spans="4:13" x14ac:dyDescent="0.3">
      <c r="D64" t="str">
        <f t="shared" si="10"/>
        <v/>
      </c>
      <c r="E64" t="str">
        <f t="shared" si="11"/>
        <v/>
      </c>
      <c r="F64" t="str">
        <f t="shared" si="9"/>
        <v/>
      </c>
      <c r="G64" t="str">
        <f t="shared" si="7"/>
        <v/>
      </c>
      <c r="H64" t="str">
        <f t="shared" si="8"/>
        <v/>
      </c>
      <c r="I64" t="str">
        <f>IF($D64&lt;&gt;"",LOWER(CONCATENATE(LEFT($D64,1),I$1,$E64,"@",$O$2)),"")</f>
        <v/>
      </c>
      <c r="J64" t="str">
        <f>IF($D64&lt;&gt;"",LOWER(CONCATENATE(LEFT($D64,1),J$1,$E64,"@",$O$2)),"")</f>
        <v/>
      </c>
      <c r="K64" t="str">
        <f>IF($D64&lt;&gt;"",LOWER(CONCATENATE($D64,K$1,$E64,"@",$O$2)),"")</f>
        <v/>
      </c>
      <c r="L64" t="str">
        <f>IF($D64&lt;&gt;"",LOWER(CONCATENATE($D64,L$1,$E64,"@",$O$2)),"")</f>
        <v/>
      </c>
      <c r="M64" t="str">
        <f t="shared" si="2"/>
        <v/>
      </c>
    </row>
    <row r="65" spans="4:13" x14ac:dyDescent="0.3">
      <c r="D65" t="str">
        <f t="shared" si="10"/>
        <v/>
      </c>
      <c r="E65" t="str">
        <f t="shared" si="11"/>
        <v/>
      </c>
      <c r="F65" t="str">
        <f t="shared" si="9"/>
        <v/>
      </c>
      <c r="G65" t="str">
        <f t="shared" si="7"/>
        <v/>
      </c>
      <c r="H65" t="str">
        <f t="shared" si="8"/>
        <v/>
      </c>
      <c r="I65" t="str">
        <f>IF($D65&lt;&gt;"",LOWER(CONCATENATE(LEFT($D65,1),I$1,$E65,"@",$O$2)),"")</f>
        <v/>
      </c>
      <c r="J65" t="str">
        <f>IF($D65&lt;&gt;"",LOWER(CONCATENATE(LEFT($D65,1),J$1,$E65,"@",$O$2)),"")</f>
        <v/>
      </c>
      <c r="K65" t="str">
        <f>IF($D65&lt;&gt;"",LOWER(CONCATENATE($D65,K$1,$E65,"@",$O$2)),"")</f>
        <v/>
      </c>
      <c r="L65" t="str">
        <f>IF($D65&lt;&gt;"",LOWER(CONCATENATE($D65,L$1,$E65,"@",$O$2)),"")</f>
        <v/>
      </c>
      <c r="M65" t="str">
        <f t="shared" si="2"/>
        <v/>
      </c>
    </row>
    <row r="66" spans="4:13" x14ac:dyDescent="0.3">
      <c r="D66" t="str">
        <f t="shared" si="10"/>
        <v/>
      </c>
      <c r="E66" t="str">
        <f t="shared" si="11"/>
        <v/>
      </c>
      <c r="F66" t="str">
        <f t="shared" si="9"/>
        <v/>
      </c>
      <c r="G66" t="str">
        <f t="shared" si="7"/>
        <v/>
      </c>
      <c r="H66" t="str">
        <f t="shared" si="8"/>
        <v/>
      </c>
      <c r="I66" t="str">
        <f>IF($D66&lt;&gt;"",LOWER(CONCATENATE(LEFT($D66,1),I$1,$E66,"@",$O$2)),"")</f>
        <v/>
      </c>
      <c r="J66" t="str">
        <f>IF($D66&lt;&gt;"",LOWER(CONCATENATE(LEFT($D66,1),J$1,$E66,"@",$O$2)),"")</f>
        <v/>
      </c>
      <c r="K66" t="str">
        <f>IF($D66&lt;&gt;"",LOWER(CONCATENATE($D66,K$1,$E66,"@",$O$2)),"")</f>
        <v/>
      </c>
      <c r="L66" t="str">
        <f>IF($D66&lt;&gt;"",LOWER(CONCATENATE($D66,L$1,$E66,"@",$O$2)),"")</f>
        <v/>
      </c>
      <c r="M66" t="str">
        <f t="shared" si="2"/>
        <v/>
      </c>
    </row>
    <row r="67" spans="4:13" x14ac:dyDescent="0.3">
      <c r="D67" t="str">
        <f t="shared" si="10"/>
        <v/>
      </c>
      <c r="E67" t="str">
        <f t="shared" si="11"/>
        <v/>
      </c>
      <c r="F67" t="str">
        <f t="shared" si="9"/>
        <v/>
      </c>
      <c r="G67" t="str">
        <f t="shared" si="7"/>
        <v/>
      </c>
      <c r="H67" t="str">
        <f t="shared" si="8"/>
        <v/>
      </c>
      <c r="I67" t="str">
        <f>IF($D67&lt;&gt;"",LOWER(CONCATENATE(LEFT($D67,1),I$1,$E67,"@",$O$2)),"")</f>
        <v/>
      </c>
      <c r="J67" t="str">
        <f>IF($D67&lt;&gt;"",LOWER(CONCATENATE(LEFT($D67,1),J$1,$E67,"@",$O$2)),"")</f>
        <v/>
      </c>
      <c r="K67" t="str">
        <f>IF($D67&lt;&gt;"",LOWER(CONCATENATE($D67,K$1,$E67,"@",$O$2)),"")</f>
        <v/>
      </c>
      <c r="L67" t="str">
        <f>IF($D67&lt;&gt;"",LOWER(CONCATENATE($D67,L$1,$E67,"@",$O$2)),"")</f>
        <v/>
      </c>
      <c r="M67" t="str">
        <f t="shared" si="2"/>
        <v/>
      </c>
    </row>
    <row r="68" spans="4:13" x14ac:dyDescent="0.3">
      <c r="D68" t="str">
        <f t="shared" si="10"/>
        <v/>
      </c>
      <c r="E68" t="str">
        <f t="shared" si="11"/>
        <v/>
      </c>
      <c r="F68" t="str">
        <f t="shared" si="9"/>
        <v/>
      </c>
      <c r="G68" t="str">
        <f t="shared" si="7"/>
        <v/>
      </c>
      <c r="H68" t="str">
        <f t="shared" si="8"/>
        <v/>
      </c>
      <c r="I68" t="str">
        <f>IF($D68&lt;&gt;"",LOWER(CONCATENATE(LEFT($D68,1),I$1,$E68,"@",$O$2)),"")</f>
        <v/>
      </c>
      <c r="J68" t="str">
        <f>IF($D68&lt;&gt;"",LOWER(CONCATENATE(LEFT($D68,1),J$1,$E68,"@",$O$2)),"")</f>
        <v/>
      </c>
      <c r="K68" t="str">
        <f>IF($D68&lt;&gt;"",LOWER(CONCATENATE($D68,K$1,$E68,"@",$O$2)),"")</f>
        <v/>
      </c>
      <c r="L68" t="str">
        <f>IF($D68&lt;&gt;"",LOWER(CONCATENATE($D68,L$1,$E68,"@",$O$2)),"")</f>
        <v/>
      </c>
      <c r="M68" t="str">
        <f t="shared" ref="M68:M79" si="12">IF($D68&lt;&gt;"",LOWER(CONCATENATE($D68,M$1,LEFT($E68,1),"@",$O$2)),"")</f>
        <v/>
      </c>
    </row>
    <row r="69" spans="4:13" x14ac:dyDescent="0.3">
      <c r="D69" t="str">
        <f t="shared" si="10"/>
        <v/>
      </c>
      <c r="E69" t="str">
        <f t="shared" si="11"/>
        <v/>
      </c>
      <c r="F69" t="str">
        <f t="shared" si="9"/>
        <v/>
      </c>
      <c r="G69" t="str">
        <f t="shared" si="7"/>
        <v/>
      </c>
      <c r="H69" t="str">
        <f t="shared" si="8"/>
        <v/>
      </c>
      <c r="I69" t="str">
        <f>IF($D69&lt;&gt;"",LOWER(CONCATENATE(LEFT($D69,1),I$1,$E69,"@",$O$2)),"")</f>
        <v/>
      </c>
      <c r="J69" t="str">
        <f>IF($D69&lt;&gt;"",LOWER(CONCATENATE(LEFT($D69,1),J$1,$E69,"@",$O$2)),"")</f>
        <v/>
      </c>
      <c r="K69" t="str">
        <f>IF($D69&lt;&gt;"",LOWER(CONCATENATE($D69,K$1,$E69,"@",$O$2)),"")</f>
        <v/>
      </c>
      <c r="L69" t="str">
        <f>IF($D69&lt;&gt;"",LOWER(CONCATENATE($D69,L$1,$E69,"@",$O$2)),"")</f>
        <v/>
      </c>
      <c r="M69" t="str">
        <f t="shared" si="12"/>
        <v/>
      </c>
    </row>
    <row r="70" spans="4:13" x14ac:dyDescent="0.3">
      <c r="D70" t="str">
        <f t="shared" si="10"/>
        <v/>
      </c>
      <c r="E70" t="str">
        <f t="shared" si="11"/>
        <v/>
      </c>
      <c r="F70" t="str">
        <f t="shared" si="9"/>
        <v/>
      </c>
      <c r="G70" t="str">
        <f t="shared" si="7"/>
        <v/>
      </c>
      <c r="H70" t="str">
        <f t="shared" si="8"/>
        <v/>
      </c>
      <c r="I70" t="str">
        <f>IF($D70&lt;&gt;"",LOWER(CONCATENATE(LEFT($D70,1),I$1,$E70,"@",$O$2)),"")</f>
        <v/>
      </c>
      <c r="J70" t="str">
        <f>IF($D70&lt;&gt;"",LOWER(CONCATENATE(LEFT($D70,1),J$1,$E70,"@",$O$2)),"")</f>
        <v/>
      </c>
      <c r="K70" t="str">
        <f>IF($D70&lt;&gt;"",LOWER(CONCATENATE($D70,K$1,$E70,"@",$O$2)),"")</f>
        <v/>
      </c>
      <c r="L70" t="str">
        <f>IF($D70&lt;&gt;"",LOWER(CONCATENATE($D70,L$1,$E70,"@",$O$2)),"")</f>
        <v/>
      </c>
      <c r="M70" t="str">
        <f t="shared" si="12"/>
        <v/>
      </c>
    </row>
    <row r="71" spans="4:13" x14ac:dyDescent="0.3">
      <c r="D71" t="str">
        <f t="shared" si="10"/>
        <v/>
      </c>
      <c r="E71" t="str">
        <f t="shared" si="11"/>
        <v/>
      </c>
      <c r="F71" t="str">
        <f t="shared" si="9"/>
        <v/>
      </c>
      <c r="G71" t="str">
        <f t="shared" si="7"/>
        <v/>
      </c>
      <c r="H71" t="str">
        <f t="shared" si="8"/>
        <v/>
      </c>
      <c r="I71" t="str">
        <f>IF($D71&lt;&gt;"",LOWER(CONCATENATE(LEFT($D71,1),I$1,$E71,"@",$O$2)),"")</f>
        <v/>
      </c>
      <c r="J71" t="str">
        <f>IF($D71&lt;&gt;"",LOWER(CONCATENATE(LEFT($D71,1),J$1,$E71,"@",$O$2)),"")</f>
        <v/>
      </c>
      <c r="K71" t="str">
        <f>IF($D71&lt;&gt;"",LOWER(CONCATENATE($D71,K$1,$E71,"@",$O$2)),"")</f>
        <v/>
      </c>
      <c r="L71" t="str">
        <f>IF($D71&lt;&gt;"",LOWER(CONCATENATE($D71,L$1,$E71,"@",$O$2)),"")</f>
        <v/>
      </c>
      <c r="M71" t="str">
        <f t="shared" si="12"/>
        <v/>
      </c>
    </row>
    <row r="72" spans="4:13" x14ac:dyDescent="0.3">
      <c r="D72" t="str">
        <f t="shared" si="10"/>
        <v/>
      </c>
      <c r="E72" t="str">
        <f t="shared" si="11"/>
        <v/>
      </c>
      <c r="F72" t="str">
        <f t="shared" si="9"/>
        <v/>
      </c>
      <c r="G72" t="str">
        <f t="shared" si="7"/>
        <v/>
      </c>
      <c r="H72" t="str">
        <f t="shared" si="8"/>
        <v/>
      </c>
      <c r="I72" t="str">
        <f>IF($D72&lt;&gt;"",LOWER(CONCATENATE(LEFT($D72,1),I$1,$E72,"@",$O$2)),"")</f>
        <v/>
      </c>
      <c r="J72" t="str">
        <f>IF($D72&lt;&gt;"",LOWER(CONCATENATE(LEFT($D72,1),J$1,$E72,"@",$O$2)),"")</f>
        <v/>
      </c>
      <c r="K72" t="str">
        <f>IF($D72&lt;&gt;"",LOWER(CONCATENATE($D72,K$1,$E72,"@",$O$2)),"")</f>
        <v/>
      </c>
      <c r="L72" t="str">
        <f>IF($D72&lt;&gt;"",LOWER(CONCATENATE($D72,L$1,$E72,"@",$O$2)),"")</f>
        <v/>
      </c>
      <c r="M72" t="str">
        <f t="shared" si="12"/>
        <v/>
      </c>
    </row>
    <row r="73" spans="4:13" x14ac:dyDescent="0.3">
      <c r="D73" t="str">
        <f t="shared" si="10"/>
        <v/>
      </c>
      <c r="E73" t="str">
        <f t="shared" si="11"/>
        <v/>
      </c>
      <c r="F73" t="str">
        <f t="shared" si="9"/>
        <v/>
      </c>
      <c r="G73" t="str">
        <f t="shared" si="7"/>
        <v/>
      </c>
      <c r="H73" t="str">
        <f t="shared" si="8"/>
        <v/>
      </c>
      <c r="I73" t="str">
        <f>IF($D73&lt;&gt;"",LOWER(CONCATENATE(LEFT($D73,1),I$1,$E73,"@",$O$2)),"")</f>
        <v/>
      </c>
      <c r="J73" t="str">
        <f>IF($D73&lt;&gt;"",LOWER(CONCATENATE(LEFT($D73,1),J$1,$E73,"@",$O$2)),"")</f>
        <v/>
      </c>
      <c r="K73" t="str">
        <f>IF($D73&lt;&gt;"",LOWER(CONCATENATE($D73,K$1,$E73,"@",$O$2)),"")</f>
        <v/>
      </c>
      <c r="L73" t="str">
        <f>IF($D73&lt;&gt;"",LOWER(CONCATENATE($D73,L$1,$E73,"@",$O$2)),"")</f>
        <v/>
      </c>
      <c r="M73" t="str">
        <f t="shared" si="12"/>
        <v/>
      </c>
    </row>
    <row r="74" spans="4:13" x14ac:dyDescent="0.3">
      <c r="D74" t="str">
        <f t="shared" si="10"/>
        <v/>
      </c>
      <c r="E74" t="str">
        <f t="shared" si="11"/>
        <v/>
      </c>
      <c r="F74" t="str">
        <f t="shared" si="9"/>
        <v/>
      </c>
      <c r="G74" t="str">
        <f t="shared" si="7"/>
        <v/>
      </c>
      <c r="H74" t="str">
        <f t="shared" si="8"/>
        <v/>
      </c>
      <c r="I74" t="str">
        <f>IF($D74&lt;&gt;"",LOWER(CONCATENATE(LEFT($D74,1),I$1,$E74,"@",$O$2)),"")</f>
        <v/>
      </c>
      <c r="J74" t="str">
        <f>IF($D74&lt;&gt;"",LOWER(CONCATENATE(LEFT($D74,1),J$1,$E74,"@",$O$2)),"")</f>
        <v/>
      </c>
      <c r="K74" t="str">
        <f>IF($D74&lt;&gt;"",LOWER(CONCATENATE($D74,K$1,$E74,"@",$O$2)),"")</f>
        <v/>
      </c>
      <c r="L74" t="str">
        <f>IF($D74&lt;&gt;"",LOWER(CONCATENATE($D74,L$1,$E74,"@",$O$2)),"")</f>
        <v/>
      </c>
      <c r="M74" t="str">
        <f t="shared" si="12"/>
        <v/>
      </c>
    </row>
    <row r="75" spans="4:13" x14ac:dyDescent="0.3">
      <c r="D75" t="str">
        <f t="shared" si="10"/>
        <v/>
      </c>
      <c r="E75" t="str">
        <f t="shared" si="11"/>
        <v/>
      </c>
      <c r="F75" t="str">
        <f t="shared" si="9"/>
        <v/>
      </c>
      <c r="G75" t="str">
        <f t="shared" si="7"/>
        <v/>
      </c>
      <c r="H75" t="str">
        <f t="shared" si="8"/>
        <v/>
      </c>
      <c r="I75" t="str">
        <f>IF($D75&lt;&gt;"",LOWER(CONCATENATE(LEFT($D75,1),I$1,$E75,"@",$O$2)),"")</f>
        <v/>
      </c>
      <c r="J75" t="str">
        <f>IF($D75&lt;&gt;"",LOWER(CONCATENATE(LEFT($D75,1),J$1,$E75,"@",$O$2)),"")</f>
        <v/>
      </c>
      <c r="K75" t="str">
        <f>IF($D75&lt;&gt;"",LOWER(CONCATENATE($D75,K$1,$E75,"@",$O$2)),"")</f>
        <v/>
      </c>
      <c r="L75" t="str">
        <f>IF($D75&lt;&gt;"",LOWER(CONCATENATE($D75,L$1,$E75,"@",$O$2)),"")</f>
        <v/>
      </c>
      <c r="M75" t="str">
        <f t="shared" si="12"/>
        <v/>
      </c>
    </row>
    <row r="76" spans="4:13" x14ac:dyDescent="0.3">
      <c r="D76" t="str">
        <f t="shared" si="10"/>
        <v/>
      </c>
      <c r="E76" t="str">
        <f t="shared" si="11"/>
        <v/>
      </c>
      <c r="F76" t="str">
        <f t="shared" si="9"/>
        <v/>
      </c>
      <c r="G76" t="str">
        <f t="shared" si="7"/>
        <v/>
      </c>
      <c r="H76" t="str">
        <f t="shared" si="8"/>
        <v/>
      </c>
      <c r="I76" t="str">
        <f>IF($D76&lt;&gt;"",LOWER(CONCATENATE(LEFT($D76,1),I$1,$E76,"@",$O$2)),"")</f>
        <v/>
      </c>
      <c r="J76" t="str">
        <f>IF($D76&lt;&gt;"",LOWER(CONCATENATE(LEFT($D76,1),J$1,$E76,"@",$O$2)),"")</f>
        <v/>
      </c>
      <c r="K76" t="str">
        <f>IF($D76&lt;&gt;"",LOWER(CONCATENATE($D76,K$1,$E76,"@",$O$2)),"")</f>
        <v/>
      </c>
      <c r="L76" t="str">
        <f>IF($D76&lt;&gt;"",LOWER(CONCATENATE($D76,L$1,$E76,"@",$O$2)),"")</f>
        <v/>
      </c>
      <c r="M76" t="str">
        <f t="shared" si="12"/>
        <v/>
      </c>
    </row>
    <row r="77" spans="4:13" x14ac:dyDescent="0.3">
      <c r="D77" t="str">
        <f t="shared" si="10"/>
        <v/>
      </c>
      <c r="E77" t="str">
        <f t="shared" si="11"/>
        <v/>
      </c>
      <c r="F77" t="str">
        <f t="shared" si="9"/>
        <v/>
      </c>
      <c r="G77" t="str">
        <f t="shared" si="7"/>
        <v/>
      </c>
      <c r="H77" t="str">
        <f t="shared" si="8"/>
        <v/>
      </c>
      <c r="I77" t="str">
        <f>IF($D77&lt;&gt;"",LOWER(CONCATENATE(LEFT($D77,1),I$1,$E77,"@",$O$2)),"")</f>
        <v/>
      </c>
      <c r="J77" t="str">
        <f>IF($D77&lt;&gt;"",LOWER(CONCATENATE(LEFT($D77,1),J$1,$E77,"@",$O$2)),"")</f>
        <v/>
      </c>
      <c r="K77" t="str">
        <f>IF($D77&lt;&gt;"",LOWER(CONCATENATE($D77,K$1,$E77,"@",$O$2)),"")</f>
        <v/>
      </c>
      <c r="L77" t="str">
        <f>IF($D77&lt;&gt;"",LOWER(CONCATENATE($D77,L$1,$E77,"@",$O$2)),"")</f>
        <v/>
      </c>
      <c r="M77" t="str">
        <f t="shared" si="12"/>
        <v/>
      </c>
    </row>
    <row r="78" spans="4:13" x14ac:dyDescent="0.3">
      <c r="D78" t="str">
        <f t="shared" si="10"/>
        <v/>
      </c>
      <c r="E78" t="str">
        <f t="shared" si="11"/>
        <v/>
      </c>
      <c r="F78" t="str">
        <f t="shared" si="9"/>
        <v/>
      </c>
      <c r="G78" t="str">
        <f t="shared" si="7"/>
        <v/>
      </c>
      <c r="H78" t="str">
        <f t="shared" si="8"/>
        <v/>
      </c>
      <c r="I78" t="str">
        <f>IF($D78&lt;&gt;"",LOWER(CONCATENATE(LEFT($D78,1),I$1,$E78,"@",$O$2)),"")</f>
        <v/>
      </c>
      <c r="J78" t="str">
        <f>IF($D78&lt;&gt;"",LOWER(CONCATENATE(LEFT($D78,1),J$1,$E78,"@",$O$2)),"")</f>
        <v/>
      </c>
      <c r="K78" t="str">
        <f>IF($D78&lt;&gt;"",LOWER(CONCATENATE($D78,K$1,$E78,"@",$O$2)),"")</f>
        <v/>
      </c>
      <c r="L78" t="str">
        <f>IF($D78&lt;&gt;"",LOWER(CONCATENATE($D78,L$1,$E78,"@",$O$2)),"")</f>
        <v/>
      </c>
      <c r="M78" t="str">
        <f t="shared" si="12"/>
        <v/>
      </c>
    </row>
    <row r="79" spans="4:13" x14ac:dyDescent="0.3">
      <c r="D79" t="str">
        <f t="shared" si="10"/>
        <v/>
      </c>
      <c r="E79" t="str">
        <f t="shared" si="11"/>
        <v/>
      </c>
      <c r="F79" t="str">
        <f t="shared" si="9"/>
        <v/>
      </c>
      <c r="G79" t="str">
        <f t="shared" si="7"/>
        <v/>
      </c>
      <c r="H79" t="str">
        <f t="shared" si="8"/>
        <v/>
      </c>
      <c r="I79" t="str">
        <f>IF($D79&lt;&gt;"",LOWER(CONCATENATE(LEFT($D79,1),I$1,$E79,"@",$O$2)),"")</f>
        <v/>
      </c>
      <c r="J79" t="str">
        <f>IF($D79&lt;&gt;"",LOWER(CONCATENATE(LEFT($D79,1),J$1,$E79,"@",$O$2)),"")</f>
        <v/>
      </c>
      <c r="K79" t="str">
        <f>IF($D79&lt;&gt;"",LOWER(CONCATENATE($D79,K$1,$E79,"@",$O$2)),"")</f>
        <v/>
      </c>
      <c r="L79" t="str">
        <f>IF($D79&lt;&gt;"",LOWER(CONCATENATE($D79,L$1,$E79,"@",$O$2)),"")</f>
        <v/>
      </c>
      <c r="M79" t="str">
        <f t="shared" si="12"/>
        <v/>
      </c>
    </row>
    <row r="80" spans="4:13" x14ac:dyDescent="0.3">
      <c r="D80" t="str">
        <f t="shared" si="10"/>
        <v/>
      </c>
      <c r="E80" t="str">
        <f t="shared" si="11"/>
        <v/>
      </c>
      <c r="F80" t="str">
        <f t="shared" si="9"/>
        <v/>
      </c>
      <c r="G80" t="str">
        <f t="shared" si="7"/>
        <v/>
      </c>
      <c r="H80" t="str">
        <f t="shared" si="8"/>
        <v/>
      </c>
      <c r="I80" t="str">
        <f>IF($D80&lt;&gt;"",LOWER(CONCATENATE(LEFT($D80,1),I$1,$E80,"@",$O$2)),"")</f>
        <v/>
      </c>
      <c r="J80" t="str">
        <f>IF($D80&lt;&gt;"",LOWER(CONCATENATE(LEFT($D80,1),J$1,$E80,"@",$O$2)),"")</f>
        <v/>
      </c>
      <c r="K80" t="str">
        <f>IF($D80&lt;&gt;"",LOWER(CONCATENATE($D80,K$1,$E80,"@",$O$2)),"")</f>
        <v/>
      </c>
      <c r="L80" t="str">
        <f>IF($D80&lt;&gt;"",LOWER(CONCATENATE($D80,L$1,$E80,"@",$O$2)),"")</f>
        <v/>
      </c>
    </row>
    <row r="81" spans="4:12" x14ac:dyDescent="0.3">
      <c r="D81" t="str">
        <f t="shared" si="10"/>
        <v/>
      </c>
      <c r="E81" t="str">
        <f t="shared" si="11"/>
        <v/>
      </c>
      <c r="F81" t="str">
        <f t="shared" si="9"/>
        <v/>
      </c>
      <c r="G81" t="str">
        <f t="shared" si="7"/>
        <v/>
      </c>
      <c r="H81" t="str">
        <f t="shared" si="8"/>
        <v/>
      </c>
      <c r="I81" t="str">
        <f>IF($D81&lt;&gt;"",LOWER(CONCATENATE(LEFT($D81,1),I$1,$E81,"@",$O$2)),"")</f>
        <v/>
      </c>
      <c r="J81" t="str">
        <f>IF($D81&lt;&gt;"",LOWER(CONCATENATE(LEFT($D81,1),J$1,$E81,"@",$O$2)),"")</f>
        <v/>
      </c>
      <c r="K81" t="str">
        <f>IF($D81&lt;&gt;"",LOWER(CONCATENATE($D81,K$1,$E81,"@",$O$2)),"")</f>
        <v/>
      </c>
      <c r="L81" t="str">
        <f>IF($D81&lt;&gt;"",LOWER(CONCATENATE($D81,L$1,$E81,"@",$O$2)),"")</f>
        <v/>
      </c>
    </row>
    <row r="82" spans="4:12" x14ac:dyDescent="0.3">
      <c r="D82" t="str">
        <f t="shared" si="10"/>
        <v/>
      </c>
      <c r="E82" t="str">
        <f t="shared" si="11"/>
        <v/>
      </c>
      <c r="F82" t="str">
        <f t="shared" si="9"/>
        <v/>
      </c>
      <c r="G82" t="str">
        <f t="shared" si="7"/>
        <v/>
      </c>
      <c r="H82" t="str">
        <f t="shared" si="8"/>
        <v/>
      </c>
      <c r="I82" t="str">
        <f>IF($D82&lt;&gt;"",LOWER(CONCATENATE(LEFT($D82,1),I$1,$E82,"@",$O$2)),"")</f>
        <v/>
      </c>
      <c r="J82" t="str">
        <f>IF($D82&lt;&gt;"",LOWER(CONCATENATE(LEFT($D82,1),J$1,$E82,"@",$O$2)),"")</f>
        <v/>
      </c>
      <c r="K82" t="str">
        <f>IF($D82&lt;&gt;"",LOWER(CONCATENATE($D82,K$1,$E82,"@",$O$2)),"")</f>
        <v/>
      </c>
      <c r="L82" t="str">
        <f>IF($D82&lt;&gt;"",LOWER(CONCATENATE($D82,L$1,$E82,"@",$O$2)),"")</f>
        <v/>
      </c>
    </row>
    <row r="83" spans="4:12" x14ac:dyDescent="0.3">
      <c r="D83" t="str">
        <f t="shared" si="10"/>
        <v/>
      </c>
      <c r="E83" t="str">
        <f t="shared" si="11"/>
        <v/>
      </c>
      <c r="F83" t="str">
        <f t="shared" si="9"/>
        <v/>
      </c>
      <c r="G83" t="str">
        <f t="shared" si="7"/>
        <v/>
      </c>
      <c r="H83" t="str">
        <f t="shared" si="8"/>
        <v/>
      </c>
      <c r="I83" t="str">
        <f>IF($D83&lt;&gt;"",LOWER(CONCATENATE(LEFT($D83,1),I$1,$E83,"@",$O$2)),"")</f>
        <v/>
      </c>
      <c r="J83" t="str">
        <f>IF($D83&lt;&gt;"",LOWER(CONCATENATE(LEFT($D83,1),J$1,$E83,"@",$O$2)),"")</f>
        <v/>
      </c>
      <c r="K83" t="str">
        <f>IF($D83&lt;&gt;"",LOWER(CONCATENATE($D83,K$1,$E83,"@",$O$2)),"")</f>
        <v/>
      </c>
      <c r="L83" t="str">
        <f>IF($D83&lt;&gt;"",LOWER(CONCATENATE($D83,L$1,$E83,"@",$O$2)),"")</f>
        <v/>
      </c>
    </row>
    <row r="84" spans="4:12" x14ac:dyDescent="0.3">
      <c r="D84" t="str">
        <f t="shared" si="10"/>
        <v/>
      </c>
      <c r="E84" t="str">
        <f t="shared" si="11"/>
        <v/>
      </c>
      <c r="F84" t="str">
        <f t="shared" si="9"/>
        <v/>
      </c>
      <c r="G84" t="str">
        <f t="shared" si="7"/>
        <v/>
      </c>
      <c r="H84" t="str">
        <f t="shared" si="8"/>
        <v/>
      </c>
      <c r="I84" t="str">
        <f>IF($D84&lt;&gt;"",LOWER(CONCATENATE(LEFT($D84,1),I$1,$E84,"@",$O$2)),"")</f>
        <v/>
      </c>
      <c r="J84" t="str">
        <f>IF($D84&lt;&gt;"",LOWER(CONCATENATE(LEFT($D84,1),J$1,$E84,"@",$O$2)),"")</f>
        <v/>
      </c>
      <c r="K84" t="str">
        <f>IF($D84&lt;&gt;"",LOWER(CONCATENATE($D84,K$1,$E84,"@",$O$2)),"")</f>
        <v/>
      </c>
      <c r="L84" t="str">
        <f>IF($D84&lt;&gt;"",LOWER(CONCATENATE($D84,L$1,$E84,"@",$O$2)),"")</f>
        <v/>
      </c>
    </row>
    <row r="85" spans="4:12" x14ac:dyDescent="0.3">
      <c r="D85" t="str">
        <f t="shared" si="10"/>
        <v/>
      </c>
      <c r="E85" t="str">
        <f t="shared" si="11"/>
        <v/>
      </c>
      <c r="F85" t="str">
        <f t="shared" si="9"/>
        <v/>
      </c>
      <c r="G85" t="str">
        <f t="shared" si="7"/>
        <v/>
      </c>
      <c r="H85" t="str">
        <f t="shared" si="8"/>
        <v/>
      </c>
      <c r="I85" t="str">
        <f>IF($D85&lt;&gt;"",LOWER(CONCATENATE(LEFT($D85,1),I$1,$E85,"@",$O$2)),"")</f>
        <v/>
      </c>
      <c r="J85" t="str">
        <f>IF($D85&lt;&gt;"",LOWER(CONCATENATE(LEFT($D85,1),J$1,$E85,"@",$O$2)),"")</f>
        <v/>
      </c>
      <c r="K85" t="str">
        <f>IF($D85&lt;&gt;"",LOWER(CONCATENATE($D85,K$1,$E85,"@",$O$2)),"")</f>
        <v/>
      </c>
      <c r="L85" t="str">
        <f>IF($D85&lt;&gt;"",LOWER(CONCATENATE($D85,L$1,$E85,"@",$O$2)),"")</f>
        <v/>
      </c>
    </row>
    <row r="86" spans="4:12" x14ac:dyDescent="0.3">
      <c r="D86" t="str">
        <f t="shared" si="10"/>
        <v/>
      </c>
      <c r="E86" t="str">
        <f t="shared" si="11"/>
        <v/>
      </c>
      <c r="F86" t="str">
        <f t="shared" si="9"/>
        <v/>
      </c>
      <c r="G86" t="str">
        <f t="shared" si="7"/>
        <v/>
      </c>
      <c r="H86" t="str">
        <f t="shared" si="8"/>
        <v/>
      </c>
      <c r="I86" t="str">
        <f>IF($D86&lt;&gt;"",LOWER(CONCATENATE(LEFT($D86,1),I$1,$E86,"@",$O$2)),"")</f>
        <v/>
      </c>
      <c r="J86" t="str">
        <f>IF($D86&lt;&gt;"",LOWER(CONCATENATE(LEFT($D86,1),J$1,$E86,"@",$O$2)),"")</f>
        <v/>
      </c>
      <c r="K86" t="str">
        <f>IF($D86&lt;&gt;"",LOWER(CONCATENATE($D86,K$1,$E86,"@",$O$2)),"")</f>
        <v/>
      </c>
      <c r="L86" t="str">
        <f>IF($D86&lt;&gt;"",LOWER(CONCATENATE($D86,L$1,$E86,"@",$O$2)),"")</f>
        <v/>
      </c>
    </row>
    <row r="87" spans="4:12" x14ac:dyDescent="0.3">
      <c r="D87" t="str">
        <f t="shared" si="10"/>
        <v/>
      </c>
      <c r="E87" t="str">
        <f t="shared" si="11"/>
        <v/>
      </c>
      <c r="F87" t="str">
        <f t="shared" si="9"/>
        <v/>
      </c>
      <c r="G87" t="str">
        <f t="shared" si="7"/>
        <v/>
      </c>
      <c r="H87" t="str">
        <f t="shared" si="8"/>
        <v/>
      </c>
      <c r="I87" t="str">
        <f>IF($D87&lt;&gt;"",LOWER(CONCATENATE(LEFT($D87,1),I$1,$E87,"@",$O$2)),"")</f>
        <v/>
      </c>
      <c r="J87" t="str">
        <f>IF($D87&lt;&gt;"",LOWER(CONCATENATE(LEFT($D87,1),J$1,$E87,"@",$O$2)),"")</f>
        <v/>
      </c>
      <c r="K87" t="str">
        <f>IF($D87&lt;&gt;"",LOWER(CONCATENATE($D87,K$1,$E87,"@",$O$2)),"")</f>
        <v/>
      </c>
      <c r="L87" t="str">
        <f>IF($D87&lt;&gt;"",LOWER(CONCATENATE($D87,L$1,$E87,"@",$O$2)),"")</f>
        <v/>
      </c>
    </row>
    <row r="88" spans="4:12" x14ac:dyDescent="0.3">
      <c r="D88" t="str">
        <f t="shared" si="10"/>
        <v/>
      </c>
      <c r="E88" t="str">
        <f t="shared" si="11"/>
        <v/>
      </c>
      <c r="F88" t="str">
        <f t="shared" si="9"/>
        <v/>
      </c>
      <c r="G88" t="str">
        <f t="shared" si="7"/>
        <v/>
      </c>
      <c r="H88" t="str">
        <f t="shared" si="8"/>
        <v/>
      </c>
      <c r="I88" t="str">
        <f>IF($D88&lt;&gt;"",LOWER(CONCATENATE(LEFT($D88,1),I$1,$E88,"@",$O$2)),"")</f>
        <v/>
      </c>
      <c r="J88" t="str">
        <f>IF($D88&lt;&gt;"",LOWER(CONCATENATE(LEFT($D88,1),J$1,$E88,"@",$O$2)),"")</f>
        <v/>
      </c>
      <c r="K88" t="str">
        <f>IF($D88&lt;&gt;"",LOWER(CONCATENATE($D88,K$1,$E88,"@",$O$2)),"")</f>
        <v/>
      </c>
      <c r="L88" t="str">
        <f>IF($D88&lt;&gt;"",LOWER(CONCATENATE($D88,L$1,$E88,"@",$O$2)),"")</f>
        <v/>
      </c>
    </row>
    <row r="89" spans="4:12" x14ac:dyDescent="0.3">
      <c r="D89" t="str">
        <f t="shared" si="10"/>
        <v/>
      </c>
      <c r="E89" t="str">
        <f t="shared" si="11"/>
        <v/>
      </c>
      <c r="F89" t="str">
        <f t="shared" si="9"/>
        <v/>
      </c>
      <c r="G89" t="str">
        <f t="shared" si="7"/>
        <v/>
      </c>
      <c r="H89" t="str">
        <f t="shared" si="8"/>
        <v/>
      </c>
      <c r="I89" t="str">
        <f>IF($D89&lt;&gt;"",LOWER(CONCATENATE(LEFT($D89,1),I$1,$E89,"@",$O$2)),"")</f>
        <v/>
      </c>
      <c r="J89" t="str">
        <f>IF($D89&lt;&gt;"",LOWER(CONCATENATE(LEFT($D89,1),J$1,$E89,"@",$O$2)),"")</f>
        <v/>
      </c>
      <c r="K89" t="str">
        <f>IF($D89&lt;&gt;"",LOWER(CONCATENATE($D89,K$1,$E89,"@",$O$2)),"")</f>
        <v/>
      </c>
      <c r="L89" t="str">
        <f>IF($D89&lt;&gt;"",LOWER(CONCATENATE($D89,L$1,$E89,"@",$O$2)),"")</f>
        <v/>
      </c>
    </row>
    <row r="90" spans="4:12" x14ac:dyDescent="0.3">
      <c r="D90" t="str">
        <f t="shared" si="10"/>
        <v/>
      </c>
      <c r="E90" t="str">
        <f t="shared" si="11"/>
        <v/>
      </c>
      <c r="F90" t="str">
        <f t="shared" si="9"/>
        <v/>
      </c>
      <c r="G90" t="str">
        <f t="shared" si="7"/>
        <v/>
      </c>
      <c r="H90" t="str">
        <f t="shared" si="8"/>
        <v/>
      </c>
      <c r="I90" t="str">
        <f>IF($D90&lt;&gt;"",LOWER(CONCATENATE(LEFT($D90,1),I$1,$E90,"@",$O$2)),"")</f>
        <v/>
      </c>
      <c r="J90" t="str">
        <f>IF($D90&lt;&gt;"",LOWER(CONCATENATE(LEFT($D90,1),J$1,$E90,"@",$O$2)),"")</f>
        <v/>
      </c>
      <c r="K90" t="str">
        <f>IF($D90&lt;&gt;"",LOWER(CONCATENATE($D90,K$1,$E90,"@",$O$2)),"")</f>
        <v/>
      </c>
      <c r="L90" t="str">
        <f>IF($D90&lt;&gt;"",LOWER(CONCATENATE($D90,L$1,$E90,"@",$O$2)),"")</f>
        <v/>
      </c>
    </row>
    <row r="91" spans="4:12" x14ac:dyDescent="0.3">
      <c r="D91" t="str">
        <f t="shared" si="10"/>
        <v/>
      </c>
      <c r="E91" t="str">
        <f t="shared" si="11"/>
        <v/>
      </c>
      <c r="F91" t="str">
        <f t="shared" si="9"/>
        <v/>
      </c>
      <c r="G91" t="str">
        <f t="shared" si="7"/>
        <v/>
      </c>
      <c r="H91" t="str">
        <f t="shared" si="8"/>
        <v/>
      </c>
      <c r="I91" t="str">
        <f>IF($D91&lt;&gt;"",LOWER(CONCATENATE(LEFT($D91,1),I$1,$E91,"@",$O$2)),"")</f>
        <v/>
      </c>
      <c r="J91" t="str">
        <f>IF($D91&lt;&gt;"",LOWER(CONCATENATE(LEFT($D91,1),J$1,$E91,"@",$O$2)),"")</f>
        <v/>
      </c>
      <c r="K91" t="str">
        <f>IF($D91&lt;&gt;"",LOWER(CONCATENATE($D91,K$1,$E91,"@",$O$2)),"")</f>
        <v/>
      </c>
      <c r="L91" t="str">
        <f>IF($D91&lt;&gt;"",LOWER(CONCATENATE($D91,L$1,$E91,"@",$O$2)),"")</f>
        <v/>
      </c>
    </row>
    <row r="92" spans="4:12" x14ac:dyDescent="0.3">
      <c r="D92" t="str">
        <f t="shared" si="10"/>
        <v/>
      </c>
      <c r="E92" t="str">
        <f t="shared" si="11"/>
        <v/>
      </c>
      <c r="F92" t="str">
        <f t="shared" si="9"/>
        <v/>
      </c>
      <c r="G92" t="str">
        <f t="shared" ref="G92:G124" si="13">IF($D92&lt;&gt;"",LOWER(CONCATENATE(LEFT($D92,1),G$1,$E92,"@",$O$2)),"")</f>
        <v/>
      </c>
      <c r="H92" t="str">
        <f t="shared" ref="H92:H124" si="14">IF($D92&lt;&gt;"",(CONCATENATE($D92,H$1,$E92,"@",$O$2)),"")</f>
        <v/>
      </c>
      <c r="I92" t="str">
        <f>IF($D92&lt;&gt;"",LOWER(CONCATENATE(LEFT($D92,1),I$1,$E92,"@",$O$2)),"")</f>
        <v/>
      </c>
      <c r="J92" t="str">
        <f>IF($D92&lt;&gt;"",LOWER(CONCATENATE(LEFT($D92,1),J$1,$E92,"@",$O$2)),"")</f>
        <v/>
      </c>
      <c r="K92" t="str">
        <f>IF($D92&lt;&gt;"",LOWER(CONCATENATE($D92,K$1,$E92,"@",$O$2)),"")</f>
        <v/>
      </c>
      <c r="L92" t="str">
        <f>IF($D92&lt;&gt;"",LOWER(CONCATENATE($D92,L$1,$E92,"@",$O$2)),"")</f>
        <v/>
      </c>
    </row>
    <row r="93" spans="4:12" x14ac:dyDescent="0.3">
      <c r="D93" t="str">
        <f t="shared" si="10"/>
        <v/>
      </c>
      <c r="E93" t="str">
        <f t="shared" si="11"/>
        <v/>
      </c>
      <c r="F93" t="str">
        <f t="shared" si="9"/>
        <v/>
      </c>
      <c r="G93" t="str">
        <f t="shared" si="13"/>
        <v/>
      </c>
      <c r="H93" t="str">
        <f t="shared" si="14"/>
        <v/>
      </c>
      <c r="I93" t="str">
        <f>IF($D93&lt;&gt;"",LOWER(CONCATENATE(LEFT($D93,1),I$1,$E93,"@",$O$2)),"")</f>
        <v/>
      </c>
      <c r="J93" t="str">
        <f>IF($D93&lt;&gt;"",LOWER(CONCATENATE(LEFT($D93,1),J$1,$E93,"@",$O$2)),"")</f>
        <v/>
      </c>
      <c r="K93" t="str">
        <f>IF($D93&lt;&gt;"",LOWER(CONCATENATE($D93,K$1,$E93,"@",$O$2)),"")</f>
        <v/>
      </c>
      <c r="L93" t="str">
        <f>IF($D93&lt;&gt;"",LOWER(CONCATENATE($D93,L$1,$E93,"@",$O$2)),"")</f>
        <v/>
      </c>
    </row>
    <row r="94" spans="4:12" x14ac:dyDescent="0.3">
      <c r="D94" t="str">
        <f t="shared" si="10"/>
        <v/>
      </c>
      <c r="E94" t="str">
        <f t="shared" si="11"/>
        <v/>
      </c>
      <c r="F94" t="str">
        <f t="shared" si="9"/>
        <v/>
      </c>
      <c r="G94" t="str">
        <f t="shared" si="13"/>
        <v/>
      </c>
      <c r="H94" t="str">
        <f t="shared" si="14"/>
        <v/>
      </c>
      <c r="I94" t="str">
        <f>IF($D94&lt;&gt;"",LOWER(CONCATENATE(LEFT($D94,1),I$1,$E94,"@",$O$2)),"")</f>
        <v/>
      </c>
      <c r="J94" t="str">
        <f>IF($D94&lt;&gt;"",LOWER(CONCATENATE(LEFT($D94,1),J$1,$E94,"@",$O$2)),"")</f>
        <v/>
      </c>
      <c r="K94" t="str">
        <f>IF($D94&lt;&gt;"",LOWER(CONCATENATE($D94,K$1,$E94,"@",$O$2)),"")</f>
        <v/>
      </c>
      <c r="L94" t="str">
        <f>IF($D94&lt;&gt;"",LOWER(CONCATENATE($D94,L$1,$E94,"@",$O$2)),"")</f>
        <v/>
      </c>
    </row>
    <row r="95" spans="4:12" x14ac:dyDescent="0.3">
      <c r="D95" t="str">
        <f t="shared" si="10"/>
        <v/>
      </c>
      <c r="E95" t="str">
        <f t="shared" si="11"/>
        <v/>
      </c>
      <c r="F95" t="str">
        <f t="shared" si="9"/>
        <v/>
      </c>
      <c r="G95" t="str">
        <f t="shared" si="13"/>
        <v/>
      </c>
      <c r="H95" t="str">
        <f t="shared" si="14"/>
        <v/>
      </c>
      <c r="I95" t="str">
        <f>IF($D95&lt;&gt;"",LOWER(CONCATENATE(LEFT($D95,1),I$1,$E95,"@",$O$2)),"")</f>
        <v/>
      </c>
      <c r="J95" t="str">
        <f>IF($D95&lt;&gt;"",LOWER(CONCATENATE(LEFT($D95,1),J$1,$E95,"@",$O$2)),"")</f>
        <v/>
      </c>
      <c r="K95" t="str">
        <f>IF($D95&lt;&gt;"",LOWER(CONCATENATE($D95,K$1,$E95,"@",$O$2)),"")</f>
        <v/>
      </c>
      <c r="L95" t="str">
        <f>IF($D95&lt;&gt;"",LOWER(CONCATENATE($D95,L$1,$E95,"@",$O$2)),"")</f>
        <v/>
      </c>
    </row>
    <row r="96" spans="4:12" x14ac:dyDescent="0.3">
      <c r="D96" t="str">
        <f t="shared" si="10"/>
        <v/>
      </c>
      <c r="E96" t="str">
        <f t="shared" si="11"/>
        <v/>
      </c>
      <c r="F96" t="str">
        <f t="shared" si="9"/>
        <v/>
      </c>
      <c r="G96" t="str">
        <f t="shared" si="13"/>
        <v/>
      </c>
      <c r="H96" t="str">
        <f t="shared" si="14"/>
        <v/>
      </c>
      <c r="I96" t="str">
        <f>IF($D96&lt;&gt;"",LOWER(CONCATENATE(LEFT($D96,1),I$1,$E96,"@",$O$2)),"")</f>
        <v/>
      </c>
      <c r="J96" t="str">
        <f>IF($D96&lt;&gt;"",LOWER(CONCATENATE(LEFT($D96,1),J$1,$E96,"@",$O$2)),"")</f>
        <v/>
      </c>
      <c r="K96" t="str">
        <f>IF($D96&lt;&gt;"",LOWER(CONCATENATE($D96,K$1,$E96,"@",$O$2)),"")</f>
        <v/>
      </c>
      <c r="L96" t="str">
        <f>IF($D96&lt;&gt;"",LOWER(CONCATENATE($D96,L$1,$E96,"@",$O$2)),"")</f>
        <v/>
      </c>
    </row>
    <row r="97" spans="4:12" x14ac:dyDescent="0.3">
      <c r="D97" t="str">
        <f t="shared" si="10"/>
        <v/>
      </c>
      <c r="E97" t="str">
        <f t="shared" si="11"/>
        <v/>
      </c>
      <c r="F97" t="str">
        <f t="shared" si="9"/>
        <v/>
      </c>
      <c r="G97" t="str">
        <f t="shared" si="13"/>
        <v/>
      </c>
      <c r="H97" t="str">
        <f t="shared" si="14"/>
        <v/>
      </c>
      <c r="I97" t="str">
        <f>IF($D97&lt;&gt;"",LOWER(CONCATENATE(LEFT($D97,1),I$1,$E97,"@",$O$2)),"")</f>
        <v/>
      </c>
      <c r="J97" t="str">
        <f>IF($D97&lt;&gt;"",LOWER(CONCATENATE(LEFT($D97,1),J$1,$E97,"@",$O$2)),"")</f>
        <v/>
      </c>
      <c r="K97" t="str">
        <f>IF($D97&lt;&gt;"",LOWER(CONCATENATE($D97,K$1,$E97,"@",$O$2)),"")</f>
        <v/>
      </c>
      <c r="L97" t="str">
        <f>IF($D97&lt;&gt;"",LOWER(CONCATENATE($D97,L$1,$E97,"@",$O$2)),"")</f>
        <v/>
      </c>
    </row>
    <row r="98" spans="4:12" x14ac:dyDescent="0.3">
      <c r="D98" t="str">
        <f t="shared" si="10"/>
        <v/>
      </c>
      <c r="E98" t="str">
        <f t="shared" si="11"/>
        <v/>
      </c>
      <c r="F98" t="str">
        <f t="shared" si="9"/>
        <v/>
      </c>
      <c r="G98" t="str">
        <f t="shared" si="13"/>
        <v/>
      </c>
      <c r="H98" t="str">
        <f t="shared" si="14"/>
        <v/>
      </c>
      <c r="I98" t="str">
        <f>IF($D98&lt;&gt;"",LOWER(CONCATENATE(LEFT($D98,1),I$1,$E98,"@",$O$2)),"")</f>
        <v/>
      </c>
      <c r="J98" t="str">
        <f>IF($D98&lt;&gt;"",LOWER(CONCATENATE(LEFT($D98,1),J$1,$E98,"@",$O$2)),"")</f>
        <v/>
      </c>
      <c r="K98" t="str">
        <f>IF($D98&lt;&gt;"",LOWER(CONCATENATE($D98,K$1,$E98,"@",$O$2)),"")</f>
        <v/>
      </c>
      <c r="L98" t="str">
        <f>IF($D98&lt;&gt;"",LOWER(CONCATENATE($D98,L$1,$E98,"@",$O$2)),"")</f>
        <v/>
      </c>
    </row>
    <row r="99" spans="4:12" x14ac:dyDescent="0.3">
      <c r="D99" t="str">
        <f t="shared" si="10"/>
        <v/>
      </c>
      <c r="E99" t="str">
        <f t="shared" si="11"/>
        <v/>
      </c>
      <c r="F99" t="str">
        <f t="shared" si="9"/>
        <v/>
      </c>
      <c r="G99" t="str">
        <f t="shared" si="13"/>
        <v/>
      </c>
      <c r="H99" t="str">
        <f t="shared" si="14"/>
        <v/>
      </c>
      <c r="I99" t="str">
        <f>IF($D99&lt;&gt;"",LOWER(CONCATENATE(LEFT($D99,1),I$1,$E99,"@",$O$2)),"")</f>
        <v/>
      </c>
      <c r="J99" t="str">
        <f>IF($D99&lt;&gt;"",LOWER(CONCATENATE(LEFT($D99,1),J$1,$E99,"@",$O$2)),"")</f>
        <v/>
      </c>
      <c r="K99" t="str">
        <f>IF($D99&lt;&gt;"",LOWER(CONCATENATE($D99,K$1,$E99,"@",$O$2)),"")</f>
        <v/>
      </c>
      <c r="L99" t="str">
        <f>IF($D99&lt;&gt;"",LOWER(CONCATENATE($D99,L$1,$E99,"@",$O$2)),"")</f>
        <v/>
      </c>
    </row>
    <row r="100" spans="4:12" x14ac:dyDescent="0.3">
      <c r="D100" t="str">
        <f t="shared" si="10"/>
        <v/>
      </c>
      <c r="E100" t="str">
        <f t="shared" si="11"/>
        <v/>
      </c>
      <c r="F100" t="str">
        <f t="shared" si="9"/>
        <v/>
      </c>
      <c r="G100" t="str">
        <f t="shared" si="13"/>
        <v/>
      </c>
      <c r="H100" t="str">
        <f t="shared" si="14"/>
        <v/>
      </c>
      <c r="I100" t="str">
        <f>IF($D100&lt;&gt;"",LOWER(CONCATENATE(LEFT($D100,1),I$1,$E100,"@",$O$2)),"")</f>
        <v/>
      </c>
      <c r="J100" t="str">
        <f>IF($D100&lt;&gt;"",LOWER(CONCATENATE(LEFT($D100,1),J$1,$E100,"@",$O$2)),"")</f>
        <v/>
      </c>
      <c r="K100" t="str">
        <f>IF($D100&lt;&gt;"",LOWER(CONCATENATE($D100,K$1,$E100,"@",$O$2)),"")</f>
        <v/>
      </c>
      <c r="L100" t="str">
        <f>IF($D100&lt;&gt;"",LOWER(CONCATENATE($D100,L$1,$E100,"@",$O$2)),"")</f>
        <v/>
      </c>
    </row>
    <row r="101" spans="4:12" x14ac:dyDescent="0.3">
      <c r="D101" t="str">
        <f t="shared" si="10"/>
        <v/>
      </c>
      <c r="E101" t="str">
        <f t="shared" si="11"/>
        <v/>
      </c>
      <c r="F101" t="str">
        <f t="shared" si="9"/>
        <v/>
      </c>
      <c r="G101" t="str">
        <f t="shared" si="13"/>
        <v/>
      </c>
      <c r="H101" t="str">
        <f t="shared" si="14"/>
        <v/>
      </c>
      <c r="I101" t="str">
        <f>IF($D101&lt;&gt;"",LOWER(CONCATENATE(LEFT($D101,1),I$1,$E101,"@",$O$2)),"")</f>
        <v/>
      </c>
      <c r="J101" t="str">
        <f>IF($D101&lt;&gt;"",LOWER(CONCATENATE(LEFT($D101,1),J$1,$E101,"@",$O$2)),"")</f>
        <v/>
      </c>
      <c r="K101" t="str">
        <f>IF($D101&lt;&gt;"",LOWER(CONCATENATE($D101,K$1,$E101,"@",$O$2)),"")</f>
        <v/>
      </c>
      <c r="L101" t="str">
        <f>IF($D101&lt;&gt;"",LOWER(CONCATENATE($D101,L$1,$E101,"@",$O$2)),"")</f>
        <v/>
      </c>
    </row>
    <row r="102" spans="4:12" x14ac:dyDescent="0.3">
      <c r="D102" t="str">
        <f t="shared" si="10"/>
        <v/>
      </c>
      <c r="E102" t="str">
        <f t="shared" si="11"/>
        <v/>
      </c>
      <c r="F102" t="str">
        <f t="shared" si="9"/>
        <v/>
      </c>
      <c r="G102" t="str">
        <f t="shared" si="13"/>
        <v/>
      </c>
      <c r="H102" t="str">
        <f t="shared" si="14"/>
        <v/>
      </c>
      <c r="I102" t="str">
        <f>IF($D102&lt;&gt;"",LOWER(CONCATENATE(LEFT($D102,1),I$1,$E102,"@",$O$2)),"")</f>
        <v/>
      </c>
      <c r="J102" t="str">
        <f>IF($D102&lt;&gt;"",LOWER(CONCATENATE(LEFT($D102,1),J$1,$E102,"@",$O$2)),"")</f>
        <v/>
      </c>
      <c r="K102" t="str">
        <f>IF($D102&lt;&gt;"",LOWER(CONCATENATE($D102,K$1,$E102,"@",$O$2)),"")</f>
        <v/>
      </c>
      <c r="L102" t="str">
        <f>IF($D102&lt;&gt;"",LOWER(CONCATENATE($D102,L$1,$E102,"@",$O$2)),"")</f>
        <v/>
      </c>
    </row>
    <row r="103" spans="4:12" x14ac:dyDescent="0.3">
      <c r="D103" t="str">
        <f t="shared" si="10"/>
        <v/>
      </c>
      <c r="E103" t="str">
        <f t="shared" si="11"/>
        <v/>
      </c>
      <c r="F103" t="str">
        <f t="shared" si="9"/>
        <v/>
      </c>
      <c r="G103" t="str">
        <f t="shared" si="13"/>
        <v/>
      </c>
      <c r="H103" t="str">
        <f t="shared" si="14"/>
        <v/>
      </c>
      <c r="I103" t="str">
        <f>IF($D103&lt;&gt;"",LOWER(CONCATENATE(LEFT($D103,1),I$1,$E103,"@",$O$2)),"")</f>
        <v/>
      </c>
      <c r="J103" t="str">
        <f>IF($D103&lt;&gt;"",LOWER(CONCATENATE(LEFT($D103,1),J$1,$E103,"@",$O$2)),"")</f>
        <v/>
      </c>
      <c r="K103" t="str">
        <f>IF($D103&lt;&gt;"",LOWER(CONCATENATE($D103,K$1,$E103,"@",$O$2)),"")</f>
        <v/>
      </c>
      <c r="L103" t="str">
        <f>IF($D103&lt;&gt;"",LOWER(CONCATENATE($D103,L$1,$E103,"@",$O$2)),"")</f>
        <v/>
      </c>
    </row>
    <row r="104" spans="4:12" x14ac:dyDescent="0.3">
      <c r="D104" t="str">
        <f t="shared" si="10"/>
        <v/>
      </c>
      <c r="E104" t="str">
        <f t="shared" si="11"/>
        <v/>
      </c>
      <c r="F104" t="str">
        <f t="shared" si="9"/>
        <v/>
      </c>
      <c r="G104" t="str">
        <f t="shared" si="13"/>
        <v/>
      </c>
      <c r="H104" t="str">
        <f t="shared" si="14"/>
        <v/>
      </c>
      <c r="I104" t="str">
        <f>IF($D104&lt;&gt;"",LOWER(CONCATENATE(LEFT($D104,1),I$1,$E104,"@",$O$2)),"")</f>
        <v/>
      </c>
      <c r="J104" t="str">
        <f>IF($D104&lt;&gt;"",LOWER(CONCATENATE(LEFT($D104,1),J$1,$E104,"@",$O$2)),"")</f>
        <v/>
      </c>
      <c r="K104" t="str">
        <f>IF($D104&lt;&gt;"",LOWER(CONCATENATE($D104,K$1,$E104,"@",$O$2)),"")</f>
        <v/>
      </c>
      <c r="L104" t="str">
        <f>IF($D104&lt;&gt;"",LOWER(CONCATENATE($D104,L$1,$E104,"@",$O$2)),"")</f>
        <v/>
      </c>
    </row>
    <row r="105" spans="4:12" x14ac:dyDescent="0.3">
      <c r="D105" t="str">
        <f t="shared" si="10"/>
        <v/>
      </c>
      <c r="E105" t="str">
        <f t="shared" si="11"/>
        <v/>
      </c>
      <c r="F105" t="str">
        <f t="shared" si="9"/>
        <v/>
      </c>
      <c r="G105" t="str">
        <f t="shared" si="13"/>
        <v/>
      </c>
      <c r="H105" t="str">
        <f t="shared" si="14"/>
        <v/>
      </c>
      <c r="I105" t="str">
        <f>IF($D105&lt;&gt;"",LOWER(CONCATENATE(LEFT($D105,1),I$1,$E105,"@",$O$2)),"")</f>
        <v/>
      </c>
      <c r="J105" t="str">
        <f>IF($D105&lt;&gt;"",LOWER(CONCATENATE(LEFT($D105,1),J$1,$E105,"@",$O$2)),"")</f>
        <v/>
      </c>
      <c r="K105" t="str">
        <f>IF($D105&lt;&gt;"",LOWER(CONCATENATE($D105,K$1,$E105,"@",$O$2)),"")</f>
        <v/>
      </c>
      <c r="L105" t="str">
        <f>IF($D105&lt;&gt;"",LOWER(CONCATENATE($D105,L$1,$E105,"@",$O$2)),"")</f>
        <v/>
      </c>
    </row>
    <row r="106" spans="4:12" x14ac:dyDescent="0.3">
      <c r="D106" t="str">
        <f t="shared" si="10"/>
        <v/>
      </c>
      <c r="E106" t="str">
        <f t="shared" si="11"/>
        <v/>
      </c>
      <c r="F106" t="str">
        <f t="shared" si="9"/>
        <v/>
      </c>
      <c r="G106" t="str">
        <f t="shared" si="13"/>
        <v/>
      </c>
      <c r="H106" t="str">
        <f t="shared" si="14"/>
        <v/>
      </c>
      <c r="I106" t="str">
        <f>IF($D106&lt;&gt;"",LOWER(CONCATENATE(LEFT($D106,1),I$1,$E106,"@",$O$2)),"")</f>
        <v/>
      </c>
      <c r="J106" t="str">
        <f>IF($D106&lt;&gt;"",LOWER(CONCATENATE(LEFT($D106,1),J$1,$E106,"@",$O$2)),"")</f>
        <v/>
      </c>
      <c r="K106" t="str">
        <f>IF($D106&lt;&gt;"",LOWER(CONCATENATE($D106,K$1,$E106,"@",$O$2)),"")</f>
        <v/>
      </c>
      <c r="L106" t="str">
        <f>IF($D106&lt;&gt;"",LOWER(CONCATENATE($D106,L$1,$E106,"@",$O$2)),"")</f>
        <v/>
      </c>
    </row>
    <row r="107" spans="4:12" x14ac:dyDescent="0.3">
      <c r="D107" t="str">
        <f t="shared" si="10"/>
        <v/>
      </c>
      <c r="E107" t="str">
        <f t="shared" si="11"/>
        <v/>
      </c>
      <c r="F107" t="str">
        <f t="shared" si="9"/>
        <v/>
      </c>
      <c r="G107" t="str">
        <f t="shared" si="13"/>
        <v/>
      </c>
      <c r="H107" t="str">
        <f t="shared" si="14"/>
        <v/>
      </c>
      <c r="I107" t="str">
        <f>IF($D107&lt;&gt;"",LOWER(CONCATENATE(LEFT($D107,1),I$1,$E107,"@",$O$2)),"")</f>
        <v/>
      </c>
      <c r="J107" t="str">
        <f>IF($D107&lt;&gt;"",LOWER(CONCATENATE(LEFT($D107,1),J$1,$E107,"@",$O$2)),"")</f>
        <v/>
      </c>
      <c r="K107" t="str">
        <f>IF($D107&lt;&gt;"",LOWER(CONCATENATE($D107,K$1,$E107,"@",$O$2)),"")</f>
        <v/>
      </c>
      <c r="L107" t="str">
        <f>IF($D107&lt;&gt;"",LOWER(CONCATENATE($D107,L$1,$E107,"@",$O$2)),"")</f>
        <v/>
      </c>
    </row>
    <row r="108" spans="4:12" x14ac:dyDescent="0.3">
      <c r="D108" t="str">
        <f t="shared" si="10"/>
        <v/>
      </c>
      <c r="E108" t="str">
        <f t="shared" si="11"/>
        <v/>
      </c>
      <c r="F108" t="str">
        <f t="shared" si="9"/>
        <v/>
      </c>
      <c r="G108" t="str">
        <f t="shared" si="13"/>
        <v/>
      </c>
      <c r="H108" t="str">
        <f t="shared" si="14"/>
        <v/>
      </c>
      <c r="I108" t="str">
        <f>IF($D108&lt;&gt;"",LOWER(CONCATENATE(LEFT($D108,1),I$1,$E108,"@",$O$2)),"")</f>
        <v/>
      </c>
      <c r="J108" t="str">
        <f>IF($D108&lt;&gt;"",LOWER(CONCATENATE(LEFT($D108,1),J$1,$E108,"@",$O$2)),"")</f>
        <v/>
      </c>
      <c r="K108" t="str">
        <f t="shared" ref="K108:K124" si="15">IF($D108&lt;&gt;"",LOWER(CONCATENATE($D108,K$1,$E108,"@",$O$2)),"")</f>
        <v/>
      </c>
    </row>
    <row r="109" spans="4:12" x14ac:dyDescent="0.3">
      <c r="D109" t="str">
        <f t="shared" si="10"/>
        <v/>
      </c>
      <c r="E109" t="str">
        <f t="shared" si="11"/>
        <v/>
      </c>
      <c r="F109" t="str">
        <f t="shared" si="9"/>
        <v/>
      </c>
      <c r="G109" t="str">
        <f t="shared" si="13"/>
        <v/>
      </c>
      <c r="H109" t="str">
        <f t="shared" si="14"/>
        <v/>
      </c>
      <c r="I109" t="str">
        <f>IF($D109&lt;&gt;"",LOWER(CONCATENATE(LEFT($D109,1),I$1,$E109,"@",$O$2)),"")</f>
        <v/>
      </c>
      <c r="J109" t="str">
        <f>IF($D109&lt;&gt;"",LOWER(CONCATENATE(LEFT($D109,1),J$1,$E109,"@",$O$2)),"")</f>
        <v/>
      </c>
      <c r="K109" t="str">
        <f t="shared" si="15"/>
        <v/>
      </c>
    </row>
    <row r="110" spans="4:12" x14ac:dyDescent="0.3">
      <c r="D110" t="str">
        <f t="shared" si="10"/>
        <v/>
      </c>
      <c r="E110" t="str">
        <f t="shared" si="11"/>
        <v/>
      </c>
      <c r="F110" t="str">
        <f t="shared" si="9"/>
        <v/>
      </c>
      <c r="G110" t="str">
        <f t="shared" si="13"/>
        <v/>
      </c>
      <c r="H110" t="str">
        <f t="shared" si="14"/>
        <v/>
      </c>
      <c r="I110" t="str">
        <f>IF($D110&lt;&gt;"",LOWER(CONCATENATE(LEFT($D110,1),I$1,$E110,"@",$O$2)),"")</f>
        <v/>
      </c>
      <c r="J110" t="str">
        <f>IF($D110&lt;&gt;"",LOWER(CONCATENATE(LEFT($D110,1),J$1,$E110,"@",$O$2)),"")</f>
        <v/>
      </c>
      <c r="K110" t="str">
        <f t="shared" si="15"/>
        <v/>
      </c>
    </row>
    <row r="111" spans="4:12" x14ac:dyDescent="0.3">
      <c r="D111" t="str">
        <f t="shared" si="10"/>
        <v/>
      </c>
      <c r="E111" t="str">
        <f t="shared" si="11"/>
        <v/>
      </c>
      <c r="F111" t="str">
        <f t="shared" si="9"/>
        <v/>
      </c>
      <c r="G111" t="str">
        <f t="shared" si="13"/>
        <v/>
      </c>
      <c r="H111" t="str">
        <f t="shared" si="14"/>
        <v/>
      </c>
      <c r="I111" t="str">
        <f>IF($D111&lt;&gt;"",LOWER(CONCATENATE(LEFT($D111,1),I$1,$E111,"@",$O$2)),"")</f>
        <v/>
      </c>
      <c r="J111" t="str">
        <f>IF($D111&lt;&gt;"",LOWER(CONCATENATE(LEFT($D111,1),J$1,$E111,"@",$O$2)),"")</f>
        <v/>
      </c>
      <c r="K111" t="str">
        <f t="shared" si="15"/>
        <v/>
      </c>
    </row>
    <row r="112" spans="4:12" x14ac:dyDescent="0.3">
      <c r="D112" t="str">
        <f t="shared" ref="D112:D124" si="16">IF(A112&lt;&gt;"",TRIM(A112),"")</f>
        <v/>
      </c>
      <c r="E112" t="str">
        <f t="shared" ref="E112:E124" si="17">IF(B112&lt;&gt;"",TRIM(B112),"")</f>
        <v/>
      </c>
      <c r="F112" t="str">
        <f t="shared" si="9"/>
        <v/>
      </c>
      <c r="G112" t="str">
        <f t="shared" si="13"/>
        <v/>
      </c>
      <c r="H112" t="str">
        <f t="shared" si="14"/>
        <v/>
      </c>
      <c r="I112" t="str">
        <f>IF($D112&lt;&gt;"",LOWER(CONCATENATE(LEFT($D112,1),I$1,$E112,"@",$O$2)),"")</f>
        <v/>
      </c>
      <c r="J112" t="str">
        <f>IF($D112&lt;&gt;"",LOWER(CONCATENATE(LEFT($D112,1),J$1,$E112,"@",$O$2)),"")</f>
        <v/>
      </c>
      <c r="K112" t="str">
        <f t="shared" si="15"/>
        <v/>
      </c>
    </row>
    <row r="113" spans="4:11" x14ac:dyDescent="0.3">
      <c r="D113" t="str">
        <f t="shared" si="16"/>
        <v/>
      </c>
      <c r="E113" t="str">
        <f t="shared" si="17"/>
        <v/>
      </c>
      <c r="F113" t="str">
        <f t="shared" si="9"/>
        <v/>
      </c>
      <c r="G113" t="str">
        <f t="shared" si="13"/>
        <v/>
      </c>
      <c r="H113" t="str">
        <f t="shared" si="14"/>
        <v/>
      </c>
      <c r="I113" t="str">
        <f>IF($D113&lt;&gt;"",LOWER(CONCATENATE(LEFT($D113,1),I$1,$E113,"@",$O$2)),"")</f>
        <v/>
      </c>
      <c r="J113" t="str">
        <f>IF($D113&lt;&gt;"",LOWER(CONCATENATE(LEFT($D113,1),J$1,$E113,"@",$O$2)),"")</f>
        <v/>
      </c>
      <c r="K113" t="str">
        <f t="shared" si="15"/>
        <v/>
      </c>
    </row>
    <row r="114" spans="4:11" x14ac:dyDescent="0.3">
      <c r="D114" t="str">
        <f t="shared" si="16"/>
        <v/>
      </c>
      <c r="E114" t="str">
        <f t="shared" si="17"/>
        <v/>
      </c>
      <c r="F114" t="str">
        <f t="shared" si="9"/>
        <v/>
      </c>
      <c r="G114" t="str">
        <f t="shared" si="13"/>
        <v/>
      </c>
      <c r="H114" t="str">
        <f t="shared" si="14"/>
        <v/>
      </c>
      <c r="I114" t="str">
        <f>IF($D114&lt;&gt;"",LOWER(CONCATENATE(LEFT($D114,1),I$1,$E114,"@",$O$2)),"")</f>
        <v/>
      </c>
      <c r="J114" t="str">
        <f>IF($D114&lt;&gt;"",LOWER(CONCATENATE(LEFT($D114,1),J$1,$E114,"@",$O$2)),"")</f>
        <v/>
      </c>
      <c r="K114" t="str">
        <f t="shared" si="15"/>
        <v/>
      </c>
    </row>
    <row r="115" spans="4:11" x14ac:dyDescent="0.3">
      <c r="D115" t="str">
        <f t="shared" si="16"/>
        <v/>
      </c>
      <c r="E115" t="str">
        <f t="shared" si="17"/>
        <v/>
      </c>
      <c r="F115" t="str">
        <f t="shared" si="9"/>
        <v/>
      </c>
      <c r="G115" t="str">
        <f t="shared" si="13"/>
        <v/>
      </c>
      <c r="H115" t="str">
        <f t="shared" si="14"/>
        <v/>
      </c>
      <c r="I115" t="str">
        <f>IF($D115&lt;&gt;"",LOWER(CONCATENATE(LEFT($D115,1),I$1,$E115,"@",$O$2)),"")</f>
        <v/>
      </c>
      <c r="J115" t="str">
        <f>IF($D115&lt;&gt;"",LOWER(CONCATENATE(LEFT($D115,1),J$1,$E115,"@",$O$2)),"")</f>
        <v/>
      </c>
      <c r="K115" t="str">
        <f t="shared" si="15"/>
        <v/>
      </c>
    </row>
    <row r="116" spans="4:11" x14ac:dyDescent="0.3">
      <c r="D116" t="str">
        <f t="shared" si="16"/>
        <v/>
      </c>
      <c r="E116" t="str">
        <f t="shared" si="17"/>
        <v/>
      </c>
      <c r="F116" t="str">
        <f t="shared" si="9"/>
        <v/>
      </c>
      <c r="G116" t="str">
        <f t="shared" si="13"/>
        <v/>
      </c>
      <c r="H116" t="str">
        <f t="shared" si="14"/>
        <v/>
      </c>
      <c r="I116" t="str">
        <f>IF($D116&lt;&gt;"",LOWER(CONCATENATE(LEFT($D116,1),I$1,$E116,"@",$O$2)),"")</f>
        <v/>
      </c>
      <c r="J116" t="str">
        <f>IF($D116&lt;&gt;"",LOWER(CONCATENATE(LEFT($D116,1),J$1,$E116,"@",$O$2)),"")</f>
        <v/>
      </c>
      <c r="K116" t="str">
        <f t="shared" si="15"/>
        <v/>
      </c>
    </row>
    <row r="117" spans="4:11" x14ac:dyDescent="0.3">
      <c r="D117" t="str">
        <f t="shared" si="16"/>
        <v/>
      </c>
      <c r="E117" t="str">
        <f t="shared" si="17"/>
        <v/>
      </c>
      <c r="F117" t="str">
        <f t="shared" si="9"/>
        <v/>
      </c>
      <c r="G117" t="str">
        <f t="shared" si="13"/>
        <v/>
      </c>
      <c r="H117" t="str">
        <f t="shared" si="14"/>
        <v/>
      </c>
      <c r="I117" t="str">
        <f>IF($D117&lt;&gt;"",LOWER(CONCATENATE(LEFT($D117,1),I$1,$E117,"@",$O$2)),"")</f>
        <v/>
      </c>
      <c r="J117" t="str">
        <f>IF($D117&lt;&gt;"",LOWER(CONCATENATE(LEFT($D117,1),J$1,$E117,"@",$O$2)),"")</f>
        <v/>
      </c>
      <c r="K117" t="str">
        <f t="shared" si="15"/>
        <v/>
      </c>
    </row>
    <row r="118" spans="4:11" x14ac:dyDescent="0.3">
      <c r="D118" t="str">
        <f t="shared" si="16"/>
        <v/>
      </c>
      <c r="E118" t="str">
        <f t="shared" si="17"/>
        <v/>
      </c>
      <c r="F118" t="str">
        <f t="shared" si="9"/>
        <v/>
      </c>
      <c r="G118" t="str">
        <f t="shared" si="13"/>
        <v/>
      </c>
      <c r="H118" t="str">
        <f t="shared" si="14"/>
        <v/>
      </c>
      <c r="I118" t="str">
        <f>IF($D118&lt;&gt;"",LOWER(CONCATENATE(LEFT($D118,1),I$1,$E118,"@",$O$2)),"")</f>
        <v/>
      </c>
      <c r="J118" t="str">
        <f>IF($D118&lt;&gt;"",LOWER(CONCATENATE(LEFT($D118,1),J$1,$E118,"@",$O$2)),"")</f>
        <v/>
      </c>
      <c r="K118" t="str">
        <f t="shared" si="15"/>
        <v/>
      </c>
    </row>
    <row r="119" spans="4:11" x14ac:dyDescent="0.3">
      <c r="D119" t="str">
        <f t="shared" si="16"/>
        <v/>
      </c>
      <c r="E119" t="str">
        <f t="shared" si="17"/>
        <v/>
      </c>
      <c r="F119" t="str">
        <f t="shared" si="9"/>
        <v/>
      </c>
      <c r="G119" t="str">
        <f t="shared" si="13"/>
        <v/>
      </c>
      <c r="H119" t="str">
        <f t="shared" si="14"/>
        <v/>
      </c>
      <c r="I119" t="str">
        <f>IF($D119&lt;&gt;"",LOWER(CONCATENATE(LEFT($D119,1),I$1,$E119,"@",$O$2)),"")</f>
        <v/>
      </c>
      <c r="J119" t="str">
        <f>IF($D119&lt;&gt;"",LOWER(CONCATENATE(LEFT($D119,1),J$1,$E119,"@",$O$2)),"")</f>
        <v/>
      </c>
      <c r="K119" t="str">
        <f t="shared" si="15"/>
        <v/>
      </c>
    </row>
    <row r="120" spans="4:11" x14ac:dyDescent="0.3">
      <c r="D120" t="str">
        <f t="shared" si="16"/>
        <v/>
      </c>
      <c r="E120" t="str">
        <f t="shared" si="17"/>
        <v/>
      </c>
      <c r="F120" t="str">
        <f t="shared" ref="F120:F123" si="18">IF($D120&lt;&gt;"",_xlfn.CONCAT(A120,"@",$O$2),"")</f>
        <v/>
      </c>
      <c r="G120" t="str">
        <f t="shared" si="13"/>
        <v/>
      </c>
      <c r="H120" t="str">
        <f t="shared" si="14"/>
        <v/>
      </c>
      <c r="I120" t="str">
        <f>IF($D120&lt;&gt;"",LOWER(CONCATENATE(LEFT($D120,1),I$1,$E120,"@",$O$2)),"")</f>
        <v/>
      </c>
      <c r="J120" t="str">
        <f>IF($D120&lt;&gt;"",LOWER(CONCATENATE(LEFT($D120,1),J$1,$E120,"@",$O$2)),"")</f>
        <v/>
      </c>
      <c r="K120" t="str">
        <f t="shared" si="15"/>
        <v/>
      </c>
    </row>
    <row r="121" spans="4:11" x14ac:dyDescent="0.3">
      <c r="D121" t="str">
        <f t="shared" si="16"/>
        <v/>
      </c>
      <c r="E121" t="str">
        <f t="shared" si="17"/>
        <v/>
      </c>
      <c r="F121" t="str">
        <f t="shared" si="18"/>
        <v/>
      </c>
      <c r="G121" t="str">
        <f t="shared" si="13"/>
        <v/>
      </c>
      <c r="H121" t="str">
        <f t="shared" si="14"/>
        <v/>
      </c>
      <c r="I121" t="str">
        <f>IF($D121&lt;&gt;"",LOWER(CONCATENATE(LEFT($D121,1),I$1,$E121,"@",$O$2)),"")</f>
        <v/>
      </c>
      <c r="J121" t="str">
        <f>IF($D121&lt;&gt;"",LOWER(CONCATENATE(LEFT($D121,1),J$1,$E121,"@",$O$2)),"")</f>
        <v/>
      </c>
      <c r="K121" t="str">
        <f t="shared" si="15"/>
        <v/>
      </c>
    </row>
    <row r="122" spans="4:11" x14ac:dyDescent="0.3">
      <c r="D122" t="str">
        <f t="shared" si="16"/>
        <v/>
      </c>
      <c r="E122" t="str">
        <f t="shared" si="17"/>
        <v/>
      </c>
      <c r="F122" t="str">
        <f t="shared" si="18"/>
        <v/>
      </c>
      <c r="G122" t="str">
        <f t="shared" si="13"/>
        <v/>
      </c>
      <c r="H122" t="str">
        <f t="shared" si="14"/>
        <v/>
      </c>
      <c r="I122" t="str">
        <f>IF($D122&lt;&gt;"",LOWER(CONCATENATE(LEFT($D122,1),I$1,$E122,"@",$O$2)),"")</f>
        <v/>
      </c>
      <c r="J122" t="str">
        <f>IF($D122&lt;&gt;"",LOWER(CONCATENATE(LEFT($D122,1),J$1,$E122,"@",$O$2)),"")</f>
        <v/>
      </c>
      <c r="K122" t="str">
        <f t="shared" si="15"/>
        <v/>
      </c>
    </row>
    <row r="123" spans="4:11" x14ac:dyDescent="0.3">
      <c r="D123" t="str">
        <f t="shared" si="16"/>
        <v/>
      </c>
      <c r="E123" t="str">
        <f t="shared" si="17"/>
        <v/>
      </c>
      <c r="F123" t="str">
        <f t="shared" si="18"/>
        <v/>
      </c>
      <c r="G123" t="str">
        <f t="shared" si="13"/>
        <v/>
      </c>
      <c r="H123" t="str">
        <f t="shared" si="14"/>
        <v/>
      </c>
      <c r="I123" t="str">
        <f>IF($D123&lt;&gt;"",LOWER(CONCATENATE(LEFT($D123,1),I$1,$E123,"@",$O$2)),"")</f>
        <v/>
      </c>
      <c r="J123" t="str">
        <f>IF($D123&lt;&gt;"",LOWER(CONCATENATE(LEFT($D123,1),J$1,$E123,"@",$O$2)),"")</f>
        <v/>
      </c>
      <c r="K123" t="str">
        <f t="shared" si="15"/>
        <v/>
      </c>
    </row>
    <row r="124" spans="4:11" x14ac:dyDescent="0.3">
      <c r="D124" t="str">
        <f t="shared" si="16"/>
        <v/>
      </c>
      <c r="E124" t="str">
        <f t="shared" si="17"/>
        <v/>
      </c>
      <c r="G124" t="str">
        <f t="shared" si="13"/>
        <v/>
      </c>
      <c r="H124" t="str">
        <f t="shared" si="14"/>
        <v/>
      </c>
      <c r="I124" t="str">
        <f>IF($D124&lt;&gt;"",LOWER(CONCATENATE(LEFT($D124,1),I$1,$E124,"@",$O$2)),"")</f>
        <v/>
      </c>
      <c r="J124" t="str">
        <f>IF($D124&lt;&gt;"",LOWER(CONCATENATE(LEFT($D124,1),J$1,$E124,"@",$O$2)),"")</f>
        <v/>
      </c>
      <c r="K124" t="str">
        <f t="shared" si="15"/>
        <v/>
      </c>
    </row>
  </sheetData>
  <hyperlinks>
    <hyperlink ref="G2" r:id="rId1" xr:uid="{CAD7895E-FD57-4B16-8814-8E3D8BD0864E}"/>
    <hyperlink ref="H2" r:id="rId2" xr:uid="{91283EC1-4B2F-409F-94A5-191FF8EEC628}"/>
    <hyperlink ref="I2" r:id="rId3" xr:uid="{BE56D30F-2DEB-442C-8A27-7A34AFCFEB58}"/>
    <hyperlink ref="J2" r:id="rId4" xr:uid="{374FAE5F-9B4A-4168-824C-FB6BE49B1900}"/>
    <hyperlink ref="K2" r:id="rId5" xr:uid="{03924DA3-FE48-46D1-AB3D-4E36A987E931}"/>
    <hyperlink ref="L2" r:id="rId6" xr:uid="{134DE416-582A-4E98-8272-90AC7FD00F6B}"/>
    <hyperlink ref="F2" r:id="rId7" xr:uid="{5A8355AC-B215-4C28-90DB-1C5DD63B1C3E}"/>
    <hyperlink ref="M2" r:id="rId8" xr:uid="{D27459FD-5891-4DA1-8304-1D3ED3D361DB}"/>
  </hyperlinks>
  <pageMargins left="0.7" right="0.7" top="0.75" bottom="0.75" header="0.3" footer="0.3"/>
  <ignoredErrors>
    <ignoredError sqref="H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dHat</dc:creator>
  <cp:lastModifiedBy>dHat</cp:lastModifiedBy>
  <dcterms:created xsi:type="dcterms:W3CDTF">2015-06-05T18:17:20Z</dcterms:created>
  <dcterms:modified xsi:type="dcterms:W3CDTF">2026-04-27T16:45:37Z</dcterms:modified>
</cp:coreProperties>
</file>